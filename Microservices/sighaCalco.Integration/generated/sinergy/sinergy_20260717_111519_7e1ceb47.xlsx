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91">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0" fontId="0" fillId="0" borderId="17" pivotButton="0" quotePrefix="0" xfId="0"/>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Arango Gomez Keisy Jhoana</t>
        </is>
      </c>
      <c r="D6" s="178" t="inlineStr">
        <is>
          <t>1.000.748.147</t>
        </is>
      </c>
      <c r="E6" s="66" t="inlineStr">
        <is>
          <t>Keisy</t>
        </is>
      </c>
      <c r="F6" s="66" t="inlineStr">
        <is>
          <t>Jhoana</t>
        </is>
      </c>
      <c r="G6" s="66" t="inlineStr">
        <is>
          <t>Arango</t>
        </is>
      </c>
      <c r="H6" s="66" t="inlineStr">
        <is>
          <t>Gomez</t>
        </is>
      </c>
      <c r="I6" s="179" t="inlineStr">
        <is>
          <t>21/01/2001</t>
        </is>
      </c>
      <c r="J6" s="66" t="inlineStr">
        <is>
          <t>C</t>
        </is>
      </c>
      <c r="K6" s="180" t="inlineStr">
        <is>
          <t>1.000.748.147</t>
        </is>
      </c>
      <c r="L6" s="75" t="inlineStr">
        <is>
          <t>MEDELLIN</t>
        </is>
      </c>
      <c r="M6" s="66" t="inlineStr">
        <is>
          <t>F</t>
        </is>
      </c>
      <c r="N6" s="75" t="inlineStr">
        <is>
          <t>02/07/2026</t>
        </is>
      </c>
      <c r="O6" s="181" t="n"/>
      <c r="P6" s="75" t="inlineStr">
        <is>
          <t>02/07/2026</t>
        </is>
      </c>
      <c r="Q6" s="71" t="inlineStr">
        <is>
          <t>001</t>
        </is>
      </c>
      <c r="R6" s="72" t="n"/>
      <c r="S6" s="72" t="n"/>
      <c r="T6" s="66" t="n"/>
      <c r="V6" s="72" t="n"/>
      <c r="W6" s="72" t="n"/>
      <c r="X6" s="67" t="n"/>
      <c r="Y6" s="66" t="n"/>
      <c r="Z6" s="66" t="n"/>
      <c r="AA6" s="66" t="n"/>
      <c r="AB6" s="66" t="n"/>
      <c r="AC6" s="68" t="n"/>
      <c r="AD6" s="66" t="n"/>
      <c r="AE6" s="69" t="n"/>
      <c r="AF6" s="67" t="n"/>
      <c r="AG6" s="66" t="n"/>
      <c r="AH6" s="66" t="n"/>
      <c r="AI6" s="66" t="n"/>
      <c r="AJ6" s="66" t="n"/>
      <c r="AK6" s="68" t="n"/>
      <c r="AL6" s="66" t="n"/>
      <c r="AM6" s="69" t="n"/>
      <c r="AN6" s="75" t="n"/>
      <c r="AO6" s="76" t="n"/>
      <c r="AP6" s="67" t="n"/>
      <c r="AQ6" s="66" t="n"/>
      <c r="AR6" s="66" t="n"/>
      <c r="AS6" s="66" t="n"/>
      <c r="AT6" s="66" t="n"/>
      <c r="AU6" s="68" t="n"/>
      <c r="AV6" s="66" t="n"/>
      <c r="AW6" s="69" t="n"/>
      <c r="AY6" s="77" t="n"/>
      <c r="AZ6" s="67" t="n"/>
      <c r="BA6" s="66" t="n"/>
      <c r="BB6" s="66" t="n"/>
      <c r="BC6" s="66" t="n"/>
      <c r="BD6" s="66" t="n"/>
      <c r="BE6" s="68" t="n"/>
      <c r="BF6" s="66" t="n"/>
      <c r="BG6" s="69" t="n"/>
      <c r="BJ6" s="73" t="n"/>
      <c r="BK6" s="59" t="n"/>
      <c r="BL6" s="80" t="n"/>
      <c r="BM6" s="79" t="n"/>
      <c r="BN6" s="81" t="n"/>
      <c r="BQ6" s="82" t="n"/>
      <c r="BR6" s="82" t="n"/>
      <c r="BS6" s="82" t="n"/>
      <c r="BT6" s="67" t="n"/>
      <c r="BU6" s="66" t="n"/>
      <c r="BV6" s="66" t="n"/>
      <c r="BW6" s="66" t="n"/>
      <c r="BX6" s="66" t="n"/>
      <c r="BY6" s="68" t="n"/>
      <c r="BZ6" s="66" t="n"/>
      <c r="CA6" s="69" t="n"/>
      <c r="CB6" s="67" t="n"/>
      <c r="CC6" s="66" t="n"/>
      <c r="CD6" s="66" t="n"/>
      <c r="CE6" s="66" t="n"/>
      <c r="CF6" s="66" t="n"/>
      <c r="CG6" s="68" t="n"/>
      <c r="CH6" s="66" t="n"/>
      <c r="CI6" s="69" t="n"/>
      <c r="CJ6" s="67" t="n"/>
      <c r="CK6" s="66" t="n"/>
      <c r="CL6" s="66" t="n"/>
      <c r="CM6" s="66" t="n"/>
      <c r="CN6" s="66" t="n"/>
      <c r="CO6" s="68" t="n"/>
      <c r="CP6" s="66" t="n"/>
      <c r="CQ6" s="69" t="n"/>
      <c r="CR6" s="84" t="n"/>
      <c r="CS6" s="83" t="n"/>
      <c r="CU6" s="78" t="n"/>
      <c r="CV6" s="78" t="n"/>
      <c r="CW6" s="78" t="n"/>
      <c r="CX6" s="78" t="n"/>
      <c r="CY6" s="78" t="n"/>
      <c r="CZ6" s="59" t="n"/>
      <c r="DA6" s="67" t="n"/>
      <c r="DB6" s="66" t="n"/>
      <c r="DC6" s="66" t="n"/>
      <c r="DD6" s="66" t="n"/>
      <c r="DE6" s="66" t="n"/>
      <c r="DF6" s="68" t="n"/>
      <c r="DG6" s="66" t="n"/>
      <c r="DH6" s="69" t="n"/>
      <c r="DI6" s="67" t="n"/>
      <c r="DJ6" s="66" t="n"/>
      <c r="DK6" s="66" t="n"/>
      <c r="DL6" s="66" t="n"/>
      <c r="DM6" s="66" t="n"/>
      <c r="DN6" s="68" t="n"/>
      <c r="DO6" s="66" t="n"/>
      <c r="DP6" s="69" t="n"/>
    </row>
    <row r="7" ht="24.95" customHeight="1">
      <c r="A7" s="27" t="n"/>
      <c r="B7" s="64" t="n"/>
      <c r="C7" s="66" t="inlineStr">
        <is>
          <t>Vega Revuelta María Camila</t>
        </is>
      </c>
      <c r="D7" s="178" t="inlineStr">
        <is>
          <t>1.064.978.389</t>
        </is>
      </c>
      <c r="E7" s="66" t="inlineStr">
        <is>
          <t>María</t>
        </is>
      </c>
      <c r="F7" s="66" t="inlineStr">
        <is>
          <t>Camila</t>
        </is>
      </c>
      <c r="G7" s="66" t="inlineStr">
        <is>
          <t>Vega</t>
        </is>
      </c>
      <c r="H7" s="66" t="inlineStr">
        <is>
          <t>Revuelta</t>
        </is>
      </c>
      <c r="I7" s="179" t="inlineStr">
        <is>
          <t>13/02/2003</t>
        </is>
      </c>
      <c r="J7" s="66" t="inlineStr">
        <is>
          <t>C</t>
        </is>
      </c>
      <c r="K7" s="180" t="inlineStr">
        <is>
          <t>1.064.978.389</t>
        </is>
      </c>
      <c r="L7" s="75" t="inlineStr">
        <is>
          <t>CORDOBA</t>
        </is>
      </c>
      <c r="M7" s="66" t="inlineStr">
        <is>
          <t>F</t>
        </is>
      </c>
      <c r="N7" s="75" t="inlineStr">
        <is>
          <t>02/07/2026</t>
        </is>
      </c>
      <c r="O7" s="181" t="n"/>
      <c r="P7" s="75" t="inlineStr">
        <is>
          <t>02/07/2026</t>
        </is>
      </c>
      <c r="Q7" s="71" t="inlineStr">
        <is>
          <t>001</t>
        </is>
      </c>
      <c r="R7" s="72" t="n"/>
      <c r="S7" s="72" t="n"/>
      <c r="T7" s="66" t="n"/>
      <c r="V7" s="72" t="n"/>
      <c r="W7" s="72" t="n"/>
      <c r="X7" s="67" t="n"/>
      <c r="Y7" s="66" t="n"/>
      <c r="Z7" s="66" t="n"/>
      <c r="AA7" s="66" t="n"/>
      <c r="AB7" s="66" t="n"/>
      <c r="AC7" s="68" t="n"/>
      <c r="AD7" s="66" t="n"/>
      <c r="AE7" s="69" t="n"/>
      <c r="AF7" s="67" t="n"/>
      <c r="AG7" s="66" t="n"/>
      <c r="AH7" s="66" t="n"/>
      <c r="AI7" s="66" t="n"/>
      <c r="AJ7" s="66" t="n"/>
      <c r="AK7" s="68" t="n"/>
      <c r="AL7" s="66" t="n"/>
      <c r="AM7" s="69" t="n"/>
      <c r="AN7" s="75" t="n"/>
      <c r="AO7" s="76" t="n"/>
      <c r="AP7" s="67" t="n"/>
      <c r="AQ7" s="66" t="n"/>
      <c r="AR7" s="66" t="n"/>
      <c r="AS7" s="66" t="n"/>
      <c r="AT7" s="66" t="n"/>
      <c r="AU7" s="68" t="n"/>
      <c r="AV7" s="66" t="n"/>
      <c r="AW7" s="69" t="n"/>
      <c r="AY7" s="77" t="n"/>
      <c r="AZ7" s="67" t="n"/>
      <c r="BA7" s="66" t="n"/>
      <c r="BB7" s="66" t="n"/>
      <c r="BC7" s="66" t="n"/>
      <c r="BD7" s="66" t="n"/>
      <c r="BE7" s="68" t="n"/>
      <c r="BF7" s="66" t="n"/>
      <c r="BG7" s="69" t="n"/>
      <c r="BJ7" s="73" t="n"/>
      <c r="BK7" s="59" t="n"/>
      <c r="BL7" s="80" t="n"/>
      <c r="BM7" s="79" t="n"/>
      <c r="BN7" s="81" t="n"/>
      <c r="BQ7" s="82" t="n"/>
      <c r="BR7" s="82" t="n"/>
      <c r="BS7" s="82" t="n"/>
      <c r="BT7" s="67" t="n"/>
      <c r="BU7" s="66" t="n"/>
      <c r="BV7" s="66" t="n"/>
      <c r="BW7" s="66" t="n"/>
      <c r="BX7" s="66" t="n"/>
      <c r="BY7" s="68" t="n"/>
      <c r="BZ7" s="66" t="n"/>
      <c r="CA7" s="69" t="n"/>
      <c r="CB7" s="67" t="n"/>
      <c r="CC7" s="66" t="n"/>
      <c r="CD7" s="66" t="n"/>
      <c r="CE7" s="66" t="n"/>
      <c r="CF7" s="66" t="n"/>
      <c r="CG7" s="68" t="n"/>
      <c r="CH7" s="66" t="n"/>
      <c r="CI7" s="69" t="n"/>
      <c r="CJ7" s="67" t="n"/>
      <c r="CK7" s="66" t="n"/>
      <c r="CL7" s="66" t="n"/>
      <c r="CM7" s="66" t="n"/>
      <c r="CN7" s="66" t="n"/>
      <c r="CO7" s="68" t="n"/>
      <c r="CP7" s="66" t="n"/>
      <c r="CQ7" s="69" t="n"/>
      <c r="CR7" s="84" t="n"/>
      <c r="CS7" s="83" t="n"/>
      <c r="CU7" s="78" t="n"/>
      <c r="CV7" s="78" t="n"/>
      <c r="CW7" s="78" t="n"/>
      <c r="CX7" s="78" t="n"/>
      <c r="CY7" s="78" t="n"/>
      <c r="CZ7" s="59" t="n"/>
      <c r="DA7" s="67" t="n"/>
      <c r="DB7" s="66" t="n"/>
      <c r="DC7" s="66" t="n"/>
      <c r="DD7" s="66" t="n"/>
      <c r="DE7" s="66" t="n"/>
      <c r="DF7" s="68" t="n"/>
      <c r="DG7" s="66" t="n"/>
      <c r="DH7" s="69" t="n"/>
      <c r="DI7" s="67" t="n"/>
      <c r="DJ7" s="66" t="n"/>
      <c r="DK7" s="66" t="n"/>
      <c r="DL7" s="66" t="n"/>
      <c r="DM7" s="66" t="n"/>
      <c r="DN7" s="68" t="n"/>
      <c r="DO7" s="66" t="n"/>
      <c r="DP7" s="69" t="n"/>
    </row>
    <row r="8" ht="24.95" customHeight="1">
      <c r="A8" s="27" t="n"/>
      <c r="B8" s="64" t="n"/>
      <c r="C8" s="66" t="inlineStr">
        <is>
          <t>España Ramirez Cristian David</t>
        </is>
      </c>
      <c r="D8" s="178" t="inlineStr">
        <is>
          <t>1.017.271.083</t>
        </is>
      </c>
      <c r="E8" s="66" t="inlineStr">
        <is>
          <t>Cristian</t>
        </is>
      </c>
      <c r="F8" s="66" t="inlineStr">
        <is>
          <t>David</t>
        </is>
      </c>
      <c r="G8" s="66" t="inlineStr">
        <is>
          <t>España</t>
        </is>
      </c>
      <c r="H8" s="66" t="inlineStr">
        <is>
          <t>Ramirez</t>
        </is>
      </c>
      <c r="I8" s="179" t="inlineStr">
        <is>
          <t>23/01/2005</t>
        </is>
      </c>
      <c r="J8" s="66" t="inlineStr">
        <is>
          <t>C</t>
        </is>
      </c>
      <c r="K8" s="180" t="inlineStr">
        <is>
          <t>1.017.271.083</t>
        </is>
      </c>
      <c r="L8" s="75" t="inlineStr">
        <is>
          <t>MEDELLIN</t>
        </is>
      </c>
      <c r="M8" s="66" t="inlineStr">
        <is>
          <t>M</t>
        </is>
      </c>
      <c r="N8" s="75" t="inlineStr">
        <is>
          <t>02/07/2026</t>
        </is>
      </c>
      <c r="O8" s="181" t="n"/>
      <c r="P8" s="75" t="inlineStr">
        <is>
          <t>02/07/2026</t>
        </is>
      </c>
      <c r="Q8" s="71" t="inlineStr">
        <is>
          <t>001</t>
        </is>
      </c>
      <c r="R8" s="72" t="n"/>
      <c r="S8" s="72" t="n"/>
      <c r="T8" s="66" t="n"/>
      <c r="V8" s="72" t="n"/>
      <c r="W8" s="72" t="n"/>
      <c r="X8" s="67" t="n"/>
      <c r="Y8" s="66" t="n"/>
      <c r="Z8" s="66" t="n"/>
      <c r="AA8" s="66" t="n"/>
      <c r="AB8" s="66" t="n"/>
      <c r="AC8" s="68" t="n"/>
      <c r="AD8" s="66" t="n"/>
      <c r="AE8" s="69" t="n"/>
      <c r="AF8" s="67" t="n"/>
      <c r="AG8" s="66" t="n"/>
      <c r="AH8" s="66" t="n"/>
      <c r="AI8" s="66" t="n"/>
      <c r="AJ8" s="66" t="n"/>
      <c r="AK8" s="68" t="n"/>
      <c r="AL8" s="66" t="n"/>
      <c r="AM8" s="69" t="n"/>
      <c r="AN8" s="75" t="n"/>
      <c r="AO8" s="76" t="n"/>
      <c r="AP8" s="67" t="n"/>
      <c r="AQ8" s="66" t="n"/>
      <c r="AR8" s="66" t="n"/>
      <c r="AS8" s="66" t="n"/>
      <c r="AT8" s="66" t="n"/>
      <c r="AU8" s="68" t="n"/>
      <c r="AV8" s="66" t="n"/>
      <c r="AW8" s="69" t="n"/>
      <c r="AY8" s="77" t="n"/>
      <c r="AZ8" s="67" t="n"/>
      <c r="BA8" s="66" t="n"/>
      <c r="BB8" s="66" t="n"/>
      <c r="BC8" s="66" t="n"/>
      <c r="BD8" s="66" t="n"/>
      <c r="BE8" s="68" t="n"/>
      <c r="BF8" s="66" t="n"/>
      <c r="BG8" s="69" t="n"/>
      <c r="BJ8" s="73" t="n"/>
      <c r="BK8" s="59" t="n"/>
      <c r="BL8" s="80" t="n"/>
      <c r="BM8" s="79" t="n"/>
      <c r="BN8" s="81" t="n"/>
      <c r="BQ8" s="82" t="n"/>
      <c r="BR8" s="82" t="n"/>
      <c r="BS8" s="82" t="n"/>
      <c r="BT8" s="67" t="n"/>
      <c r="BU8" s="66" t="n"/>
      <c r="BV8" s="66" t="n"/>
      <c r="BW8" s="66" t="n"/>
      <c r="BX8" s="66" t="n"/>
      <c r="BY8" s="68" t="n"/>
      <c r="BZ8" s="66" t="n"/>
      <c r="CA8" s="69" t="n"/>
      <c r="CB8" s="67" t="n"/>
      <c r="CC8" s="66" t="n"/>
      <c r="CD8" s="66" t="n"/>
      <c r="CE8" s="66" t="n"/>
      <c r="CF8" s="66" t="n"/>
      <c r="CG8" s="68" t="n"/>
      <c r="CH8" s="66" t="n"/>
      <c r="CI8" s="69" t="n"/>
      <c r="CJ8" s="67" t="n"/>
      <c r="CK8" s="66" t="n"/>
      <c r="CL8" s="66" t="n"/>
      <c r="CM8" s="66" t="n"/>
      <c r="CN8" s="66" t="n"/>
      <c r="CO8" s="68" t="n"/>
      <c r="CP8" s="66" t="n"/>
      <c r="CQ8" s="69" t="n"/>
      <c r="CR8" s="84" t="n"/>
      <c r="CS8" s="83" t="n"/>
      <c r="CU8" s="78" t="n"/>
      <c r="CV8" s="78" t="n"/>
      <c r="CW8" s="78" t="n"/>
      <c r="CX8" s="78" t="n"/>
      <c r="CY8" s="78" t="n"/>
      <c r="CZ8" s="59" t="n"/>
      <c r="DA8" s="67" t="n"/>
      <c r="DB8" s="66" t="n"/>
      <c r="DC8" s="66" t="n"/>
      <c r="DD8" s="66" t="n"/>
      <c r="DE8" s="66" t="n"/>
      <c r="DF8" s="68" t="n"/>
      <c r="DG8" s="66" t="n"/>
      <c r="DH8" s="69" t="n"/>
      <c r="DI8" s="67" t="n"/>
      <c r="DJ8" s="66" t="n"/>
      <c r="DK8" s="66" t="n"/>
      <c r="DL8" s="66" t="n"/>
      <c r="DM8" s="66" t="n"/>
      <c r="DN8" s="68" t="n"/>
      <c r="DO8" s="66" t="n"/>
      <c r="DP8" s="69" t="n"/>
    </row>
    <row r="9" ht="24.95" customHeight="1">
      <c r="A9" s="27" t="n"/>
      <c r="B9" s="64" t="n"/>
      <c r="C9" s="66" t="inlineStr">
        <is>
          <t>Cordoba Ortiz Loren Dahianny</t>
        </is>
      </c>
      <c r="D9" s="178" t="inlineStr">
        <is>
          <t>1.003.933.861</t>
        </is>
      </c>
      <c r="E9" s="66" t="inlineStr">
        <is>
          <t>Loren</t>
        </is>
      </c>
      <c r="F9" s="66" t="inlineStr">
        <is>
          <t>Dahianny</t>
        </is>
      </c>
      <c r="G9" s="66" t="inlineStr">
        <is>
          <t>Cordoba</t>
        </is>
      </c>
      <c r="H9" s="66" t="inlineStr">
        <is>
          <t>Ortiz</t>
        </is>
      </c>
      <c r="I9" s="179" t="inlineStr">
        <is>
          <t>27/01/2002</t>
        </is>
      </c>
      <c r="J9" s="66" t="inlineStr">
        <is>
          <t>C</t>
        </is>
      </c>
      <c r="K9" s="180" t="inlineStr">
        <is>
          <t>1.003.933.861</t>
        </is>
      </c>
      <c r="L9" s="75" t="inlineStr">
        <is>
          <t>QUIBDO</t>
        </is>
      </c>
      <c r="M9" s="66" t="inlineStr">
        <is>
          <t>F</t>
        </is>
      </c>
      <c r="N9" s="75" t="inlineStr">
        <is>
          <t>02/07/2026</t>
        </is>
      </c>
      <c r="O9" s="181" t="n"/>
      <c r="P9" s="75" t="inlineStr">
        <is>
          <t>02/07/2026</t>
        </is>
      </c>
      <c r="Q9" s="71" t="inlineStr">
        <is>
          <t>001</t>
        </is>
      </c>
      <c r="R9" s="72" t="n"/>
      <c r="S9" s="72" t="n"/>
      <c r="T9" s="66" t="n"/>
      <c r="V9" s="72" t="n"/>
      <c r="W9" s="72" t="n"/>
      <c r="X9" s="67" t="n"/>
      <c r="Y9" s="66" t="n"/>
      <c r="Z9" s="66" t="n"/>
      <c r="AA9" s="66" t="n"/>
      <c r="AB9" s="66" t="n"/>
      <c r="AC9" s="68" t="n"/>
      <c r="AD9" s="66" t="n"/>
      <c r="AE9" s="69" t="n"/>
      <c r="AF9" s="67" t="n"/>
      <c r="AG9" s="66" t="n"/>
      <c r="AH9" s="66" t="n"/>
      <c r="AI9" s="66" t="n"/>
      <c r="AJ9" s="66" t="n"/>
      <c r="AK9" s="68" t="n"/>
      <c r="AL9" s="66" t="n"/>
      <c r="AM9" s="69" t="n"/>
      <c r="AN9" s="75" t="n"/>
      <c r="AO9" s="76" t="n"/>
      <c r="AP9" s="67" t="n"/>
      <c r="AQ9" s="66" t="n"/>
      <c r="AR9" s="66" t="n"/>
      <c r="AS9" s="66" t="n"/>
      <c r="AT9" s="66" t="n"/>
      <c r="AU9" s="68" t="n"/>
      <c r="AV9" s="66" t="n"/>
      <c r="AW9" s="69" t="n"/>
      <c r="AY9" s="77" t="n"/>
      <c r="AZ9" s="67" t="n"/>
      <c r="BA9" s="66" t="n"/>
      <c r="BB9" s="66" t="n"/>
      <c r="BC9" s="66" t="n"/>
      <c r="BD9" s="66" t="n"/>
      <c r="BE9" s="68" t="n"/>
      <c r="BF9" s="66" t="n"/>
      <c r="BG9" s="69" t="n"/>
      <c r="BJ9" s="73" t="n"/>
      <c r="BK9" s="59" t="n"/>
      <c r="BL9" s="80" t="n"/>
      <c r="BM9" s="79" t="n"/>
      <c r="BN9" s="81" t="n"/>
      <c r="BQ9" s="82" t="n"/>
      <c r="BR9" s="82" t="n"/>
      <c r="BS9" s="82" t="n"/>
      <c r="BT9" s="67" t="n"/>
      <c r="BU9" s="66" t="n"/>
      <c r="BV9" s="66" t="n"/>
      <c r="BW9" s="66" t="n"/>
      <c r="BX9" s="66" t="n"/>
      <c r="BY9" s="68" t="n"/>
      <c r="BZ9" s="66" t="n"/>
      <c r="CA9" s="69" t="n"/>
      <c r="CB9" s="67" t="n"/>
      <c r="CC9" s="66" t="n"/>
      <c r="CD9" s="66" t="n"/>
      <c r="CE9" s="66" t="n"/>
      <c r="CF9" s="66" t="n"/>
      <c r="CG9" s="68" t="n"/>
      <c r="CH9" s="66" t="n"/>
      <c r="CI9" s="69" t="n"/>
      <c r="CJ9" s="67" t="n"/>
      <c r="CK9" s="66" t="n"/>
      <c r="CL9" s="66" t="n"/>
      <c r="CM9" s="66" t="n"/>
      <c r="CN9" s="66" t="n"/>
      <c r="CO9" s="68" t="n"/>
      <c r="CP9" s="66" t="n"/>
      <c r="CQ9" s="69" t="n"/>
      <c r="CR9" s="84" t="n"/>
      <c r="CS9" s="83" t="n"/>
      <c r="CU9" s="78" t="n"/>
      <c r="CV9" s="78" t="n"/>
      <c r="CW9" s="78" t="n"/>
      <c r="CX9" s="78" t="n"/>
      <c r="CY9" s="78" t="n"/>
      <c r="CZ9" s="59" t="n"/>
      <c r="DA9" s="67" t="n"/>
      <c r="DB9" s="66" t="n"/>
      <c r="DC9" s="66" t="n"/>
      <c r="DD9" s="66" t="n"/>
      <c r="DE9" s="66" t="n"/>
      <c r="DF9" s="68" t="n"/>
      <c r="DG9" s="66" t="n"/>
      <c r="DH9" s="69" t="n"/>
      <c r="DI9" s="67" t="n"/>
      <c r="DJ9" s="66" t="n"/>
      <c r="DK9" s="66" t="n"/>
      <c r="DL9" s="66" t="n"/>
      <c r="DM9" s="66" t="n"/>
      <c r="DN9" s="68" t="n"/>
      <c r="DO9" s="66" t="n"/>
      <c r="DP9" s="69" t="n"/>
    </row>
    <row r="10" ht="24.95" customHeight="1">
      <c r="A10" s="27" t="n"/>
      <c r="B10" s="64" t="n"/>
      <c r="C10" s="66" t="inlineStr">
        <is>
          <t>Palacios Cordoba Luna</t>
        </is>
      </c>
      <c r="D10" s="178" t="inlineStr">
        <is>
          <t>1.025.655.546</t>
        </is>
      </c>
      <c r="E10" s="66" t="inlineStr">
        <is>
          <t>Luna</t>
        </is>
      </c>
      <c r="F10" s="66" t="inlineStr"/>
      <c r="G10" s="66" t="inlineStr">
        <is>
          <t>Palacios</t>
        </is>
      </c>
      <c r="H10" s="66" t="inlineStr">
        <is>
          <t>Cordoba</t>
        </is>
      </c>
      <c r="I10" s="179" t="inlineStr">
        <is>
          <t>16/06/2004</t>
        </is>
      </c>
      <c r="J10" s="66" t="inlineStr">
        <is>
          <t>C</t>
        </is>
      </c>
      <c r="K10" s="180" t="inlineStr">
        <is>
          <t>1.025.655.546</t>
        </is>
      </c>
      <c r="L10" s="75" t="inlineStr">
        <is>
          <t>LA ESTRELLA</t>
        </is>
      </c>
      <c r="M10" s="66" t="inlineStr">
        <is>
          <t>F</t>
        </is>
      </c>
      <c r="N10" s="75" t="inlineStr">
        <is>
          <t>02/07/2026</t>
        </is>
      </c>
      <c r="O10" s="181" t="n"/>
      <c r="P10" s="75" t="inlineStr">
        <is>
          <t>02/07/2026</t>
        </is>
      </c>
      <c r="Q10" s="71" t="inlineStr">
        <is>
          <t>001</t>
        </is>
      </c>
      <c r="R10" s="72" t="n"/>
      <c r="S10" s="72" t="n"/>
      <c r="T10" s="66" t="n"/>
      <c r="V10" s="72" t="n"/>
      <c r="W10" s="72" t="n"/>
      <c r="X10" s="67" t="n"/>
      <c r="Y10" s="66" t="n"/>
      <c r="Z10" s="66" t="n"/>
      <c r="AA10" s="66" t="n"/>
      <c r="AB10" s="66" t="n"/>
      <c r="AC10" s="68" t="n"/>
      <c r="AD10" s="66" t="n"/>
      <c r="AE10" s="69" t="n"/>
      <c r="AF10" s="67" t="n"/>
      <c r="AG10" s="66" t="n"/>
      <c r="AH10" s="66" t="n"/>
      <c r="AI10" s="66" t="n"/>
      <c r="AJ10" s="66" t="n"/>
      <c r="AK10" s="68" t="n"/>
      <c r="AL10" s="66" t="n"/>
      <c r="AM10" s="69" t="n"/>
      <c r="AN10" s="75" t="n"/>
      <c r="AO10" s="76" t="n"/>
      <c r="AP10" s="67" t="n"/>
      <c r="AQ10" s="66" t="n"/>
      <c r="AR10" s="66" t="n"/>
      <c r="AS10" s="66" t="n"/>
      <c r="AT10" s="66" t="n"/>
      <c r="AU10" s="68" t="n"/>
      <c r="AV10" s="66" t="n"/>
      <c r="AW10" s="69" t="n"/>
      <c r="AY10" s="77" t="n"/>
      <c r="AZ10" s="67" t="n"/>
      <c r="BA10" s="66" t="n"/>
      <c r="BB10" s="66" t="n"/>
      <c r="BC10" s="66" t="n"/>
      <c r="BD10" s="66" t="n"/>
      <c r="BE10" s="68" t="n"/>
      <c r="BF10" s="66" t="n"/>
      <c r="BG10" s="69" t="n"/>
      <c r="BJ10" s="73" t="n"/>
      <c r="BK10" s="59" t="n"/>
      <c r="BL10" s="80" t="n"/>
      <c r="BM10" s="79" t="n"/>
      <c r="BN10" s="81" t="n"/>
      <c r="BQ10" s="82" t="n"/>
      <c r="BR10" s="82" t="n"/>
      <c r="BS10" s="82" t="n"/>
      <c r="BT10" s="67" t="n"/>
      <c r="BU10" s="66" t="n"/>
      <c r="BV10" s="66" t="n"/>
      <c r="BW10" s="66" t="n"/>
      <c r="BX10" s="66" t="n"/>
      <c r="BY10" s="68" t="n"/>
      <c r="BZ10" s="66" t="n"/>
      <c r="CA10" s="69" t="n"/>
      <c r="CB10" s="67" t="n"/>
      <c r="CC10" s="66" t="n"/>
      <c r="CD10" s="66" t="n"/>
      <c r="CE10" s="66" t="n"/>
      <c r="CF10" s="66" t="n"/>
      <c r="CG10" s="68" t="n"/>
      <c r="CH10" s="66" t="n"/>
      <c r="CI10" s="69" t="n"/>
      <c r="CJ10" s="67" t="n"/>
      <c r="CK10" s="66" t="n"/>
      <c r="CL10" s="66" t="n"/>
      <c r="CM10" s="66" t="n"/>
      <c r="CN10" s="66" t="n"/>
      <c r="CO10" s="68" t="n"/>
      <c r="CP10" s="66" t="n"/>
      <c r="CQ10" s="69" t="n"/>
      <c r="CR10" s="84" t="n"/>
      <c r="CS10" s="83" t="n"/>
      <c r="CU10" s="78" t="n"/>
      <c r="CV10" s="78" t="n"/>
      <c r="CW10" s="78" t="n"/>
      <c r="CX10" s="78" t="n"/>
      <c r="CY10" s="78" t="n"/>
      <c r="CZ10" s="59" t="n"/>
      <c r="DA10" s="67" t="n"/>
      <c r="DB10" s="66" t="n"/>
      <c r="DC10" s="66" t="n"/>
      <c r="DD10" s="66" t="n"/>
      <c r="DE10" s="66" t="n"/>
      <c r="DF10" s="68" t="n"/>
      <c r="DG10" s="66" t="n"/>
      <c r="DH10" s="69" t="n"/>
      <c r="DI10" s="67" t="n"/>
      <c r="DJ10" s="66" t="n"/>
      <c r="DK10" s="66" t="n"/>
      <c r="DL10" s="66" t="n"/>
      <c r="DM10" s="66" t="n"/>
      <c r="DN10" s="68" t="n"/>
      <c r="DO10" s="66" t="n"/>
      <c r="DP10" s="69" t="n"/>
    </row>
    <row r="11" ht="24.95" customHeight="1">
      <c r="A11" s="27" t="n"/>
      <c r="B11" s="64" t="n"/>
      <c r="C11" s="66" t="inlineStr">
        <is>
          <t>Forero Díaz Jhon Jairo</t>
        </is>
      </c>
      <c r="D11" s="178" t="inlineStr">
        <is>
          <t>1.193.279.642</t>
        </is>
      </c>
      <c r="E11" s="66" t="inlineStr">
        <is>
          <t>Jhon</t>
        </is>
      </c>
      <c r="F11" s="66" t="inlineStr">
        <is>
          <t>Jairo</t>
        </is>
      </c>
      <c r="G11" s="66" t="inlineStr">
        <is>
          <t>Forero</t>
        </is>
      </c>
      <c r="H11" s="66" t="inlineStr">
        <is>
          <t>Díaz</t>
        </is>
      </c>
      <c r="I11" s="179" t="inlineStr">
        <is>
          <t>06/02/1999</t>
        </is>
      </c>
      <c r="J11" s="66" t="inlineStr">
        <is>
          <t>C</t>
        </is>
      </c>
      <c r="K11" s="180" t="inlineStr">
        <is>
          <t>1.193.279.642</t>
        </is>
      </c>
      <c r="L11" s="75" t="inlineStr">
        <is>
          <t>MANIZALES</t>
        </is>
      </c>
      <c r="M11" s="66" t="inlineStr">
        <is>
          <t>M</t>
        </is>
      </c>
      <c r="N11" s="75" t="inlineStr">
        <is>
          <t>02/07/2026</t>
        </is>
      </c>
      <c r="O11" s="181" t="n"/>
      <c r="P11" s="75" t="inlineStr">
        <is>
          <t>02/07/2026</t>
        </is>
      </c>
      <c r="Q11" s="71" t="inlineStr">
        <is>
          <t>001</t>
        </is>
      </c>
      <c r="R11" s="72" t="n"/>
      <c r="S11" s="72" t="n"/>
      <c r="T11" s="66" t="n"/>
      <c r="V11" s="72" t="n"/>
      <c r="W11" s="72" t="n"/>
      <c r="X11" s="67" t="n"/>
      <c r="Y11" s="66" t="n"/>
      <c r="Z11" s="66" t="n"/>
      <c r="AA11" s="66" t="n"/>
      <c r="AB11" s="66" t="n"/>
      <c r="AC11" s="68" t="n"/>
      <c r="AD11" s="66" t="n"/>
      <c r="AE11" s="69" t="n"/>
      <c r="AF11" s="67" t="n"/>
      <c r="AG11" s="66" t="n"/>
      <c r="AH11" s="66" t="n"/>
      <c r="AI11" s="66" t="n"/>
      <c r="AJ11" s="66" t="n"/>
      <c r="AK11" s="68" t="n"/>
      <c r="AL11" s="66" t="n"/>
      <c r="AM11" s="69" t="n"/>
      <c r="AN11" s="75" t="n"/>
      <c r="AO11" s="76" t="n"/>
      <c r="AP11" s="67" t="n"/>
      <c r="AQ11" s="66" t="n"/>
      <c r="AR11" s="66" t="n"/>
      <c r="AS11" s="66" t="n"/>
      <c r="AT11" s="66" t="n"/>
      <c r="AU11" s="68" t="n"/>
      <c r="AV11" s="66" t="n"/>
      <c r="AW11" s="69" t="n"/>
      <c r="AY11" s="77" t="n"/>
      <c r="AZ11" s="67" t="n"/>
      <c r="BA11" s="66" t="n"/>
      <c r="BB11" s="66" t="n"/>
      <c r="BC11" s="66" t="n"/>
      <c r="BD11" s="66" t="n"/>
      <c r="BE11" s="68" t="n"/>
      <c r="BF11" s="66" t="n"/>
      <c r="BG11" s="69" t="n"/>
      <c r="BJ11" s="73" t="n"/>
      <c r="BK11" s="59" t="n"/>
      <c r="BL11" s="80" t="n"/>
      <c r="BM11" s="79" t="n"/>
      <c r="BN11" s="81" t="n"/>
      <c r="BQ11" s="82" t="n"/>
      <c r="BR11" s="82" t="n"/>
      <c r="BS11" s="82" t="n"/>
      <c r="BT11" s="67" t="n"/>
      <c r="BU11" s="66" t="n"/>
      <c r="BV11" s="66" t="n"/>
      <c r="BW11" s="66" t="n"/>
      <c r="BX11" s="66" t="n"/>
      <c r="BY11" s="68" t="n"/>
      <c r="BZ11" s="66" t="n"/>
      <c r="CA11" s="69" t="n"/>
      <c r="CB11" s="67" t="n"/>
      <c r="CC11" s="66" t="n"/>
      <c r="CD11" s="66" t="n"/>
      <c r="CE11" s="66" t="n"/>
      <c r="CF11" s="66" t="n"/>
      <c r="CG11" s="68" t="n"/>
      <c r="CH11" s="66" t="n"/>
      <c r="CI11" s="69" t="n"/>
      <c r="CJ11" s="67" t="n"/>
      <c r="CK11" s="66" t="n"/>
      <c r="CL11" s="66" t="n"/>
      <c r="CM11" s="66" t="n"/>
      <c r="CN11" s="66" t="n"/>
      <c r="CO11" s="68" t="n"/>
      <c r="CP11" s="66" t="n"/>
      <c r="CQ11" s="69" t="n"/>
      <c r="CR11" s="84" t="n"/>
      <c r="CS11" s="83" t="n"/>
      <c r="CU11" s="78" t="n"/>
      <c r="CV11" s="78" t="n"/>
      <c r="CW11" s="78" t="n"/>
      <c r="CX11" s="78" t="n"/>
      <c r="CY11" s="78" t="n"/>
      <c r="CZ11" s="59" t="n"/>
      <c r="DA11" s="67" t="n"/>
      <c r="DB11" s="66" t="n"/>
      <c r="DC11" s="66" t="n"/>
      <c r="DD11" s="66" t="n"/>
      <c r="DE11" s="66" t="n"/>
      <c r="DF11" s="68" t="n"/>
      <c r="DG11" s="66" t="n"/>
      <c r="DH11" s="69" t="n"/>
      <c r="DI11" s="67" t="n"/>
      <c r="DJ11" s="66" t="n"/>
      <c r="DK11" s="66" t="n"/>
      <c r="DL11" s="66" t="n"/>
      <c r="DM11" s="66" t="n"/>
      <c r="DN11" s="68" t="n"/>
      <c r="DO11" s="66" t="n"/>
      <c r="DP11" s="69" t="n"/>
    </row>
    <row r="12" ht="24.95" customHeight="1">
      <c r="A12" s="27" t="n"/>
      <c r="B12" s="64" t="n"/>
      <c r="C12" s="66" t="inlineStr">
        <is>
          <t>Bolívar Becerra Alejandro</t>
        </is>
      </c>
      <c r="D12" s="178" t="inlineStr">
        <is>
          <t>1.000.914.794</t>
        </is>
      </c>
      <c r="E12" s="66" t="inlineStr">
        <is>
          <t>Alejandro</t>
        </is>
      </c>
      <c r="F12" s="66" t="inlineStr"/>
      <c r="G12" s="66" t="inlineStr">
        <is>
          <t>Bolívar</t>
        </is>
      </c>
      <c r="H12" s="66" t="inlineStr">
        <is>
          <t>Becerra</t>
        </is>
      </c>
      <c r="I12" s="179" t="inlineStr">
        <is>
          <t>26/09/2003</t>
        </is>
      </c>
      <c r="J12" s="66" t="inlineStr">
        <is>
          <t>C</t>
        </is>
      </c>
      <c r="K12" s="180" t="inlineStr">
        <is>
          <t>1.000.914.794</t>
        </is>
      </c>
      <c r="L12" s="75" t="inlineStr">
        <is>
          <t>CONCORDIA</t>
        </is>
      </c>
      <c r="M12" s="66" t="inlineStr">
        <is>
          <t>M</t>
        </is>
      </c>
      <c r="N12" s="75" t="inlineStr">
        <is>
          <t>02/07/2026</t>
        </is>
      </c>
      <c r="O12" s="181" t="n"/>
      <c r="P12" s="75" t="inlineStr">
        <is>
          <t>02/07/2026</t>
        </is>
      </c>
      <c r="Q12" s="71" t="inlineStr">
        <is>
          <t>001</t>
        </is>
      </c>
      <c r="R12" s="72" t="n"/>
      <c r="S12" s="72" t="n"/>
      <c r="T12" s="66" t="n"/>
      <c r="V12" s="72" t="n"/>
      <c r="W12" s="72" t="n"/>
      <c r="X12" s="67" t="n"/>
      <c r="Y12" s="66" t="n"/>
      <c r="Z12" s="66" t="n"/>
      <c r="AA12" s="66" t="n"/>
      <c r="AB12" s="66" t="n"/>
      <c r="AC12" s="68" t="n"/>
      <c r="AD12" s="66" t="n"/>
      <c r="AE12" s="69" t="n"/>
      <c r="AF12" s="67" t="n"/>
      <c r="AG12" s="66" t="n"/>
      <c r="AH12" s="66" t="n"/>
      <c r="AI12" s="66" t="n"/>
      <c r="AJ12" s="66" t="n"/>
      <c r="AK12" s="68" t="n"/>
      <c r="AL12" s="66" t="n"/>
      <c r="AM12" s="69" t="n"/>
      <c r="AN12" s="75" t="n"/>
      <c r="AO12" s="76" t="n"/>
      <c r="AP12" s="67" t="n"/>
      <c r="AQ12" s="66" t="n"/>
      <c r="AR12" s="66" t="n"/>
      <c r="AS12" s="66" t="n"/>
      <c r="AT12" s="66" t="n"/>
      <c r="AU12" s="68" t="n"/>
      <c r="AV12" s="66" t="n"/>
      <c r="AW12" s="69" t="n"/>
      <c r="AY12" s="77" t="n"/>
      <c r="AZ12" s="67" t="n"/>
      <c r="BA12" s="66" t="n"/>
      <c r="BB12" s="66" t="n"/>
      <c r="BC12" s="66" t="n"/>
      <c r="BD12" s="66" t="n"/>
      <c r="BE12" s="68" t="n"/>
      <c r="BF12" s="66" t="n"/>
      <c r="BG12" s="69" t="n"/>
      <c r="BJ12" s="73" t="n"/>
      <c r="BK12" s="59" t="n"/>
      <c r="BL12" s="80" t="n"/>
      <c r="BM12" s="79" t="n"/>
      <c r="BN12" s="81" t="n"/>
      <c r="BQ12" s="82" t="n"/>
      <c r="BR12" s="82" t="n"/>
      <c r="BS12" s="82" t="n"/>
      <c r="BT12" s="67" t="n"/>
      <c r="BU12" s="66" t="n"/>
      <c r="BV12" s="66" t="n"/>
      <c r="BW12" s="66" t="n"/>
      <c r="BX12" s="66" t="n"/>
      <c r="BY12" s="68" t="n"/>
      <c r="BZ12" s="66" t="n"/>
      <c r="CA12" s="69" t="n"/>
      <c r="CB12" s="67" t="n"/>
      <c r="CC12" s="66" t="n"/>
      <c r="CD12" s="66" t="n"/>
      <c r="CE12" s="66" t="n"/>
      <c r="CF12" s="66" t="n"/>
      <c r="CG12" s="68" t="n"/>
      <c r="CH12" s="66" t="n"/>
      <c r="CI12" s="69" t="n"/>
      <c r="CJ12" s="67" t="n"/>
      <c r="CK12" s="66" t="n"/>
      <c r="CL12" s="66" t="n"/>
      <c r="CM12" s="66" t="n"/>
      <c r="CN12" s="66" t="n"/>
      <c r="CO12" s="68" t="n"/>
      <c r="CP12" s="66" t="n"/>
      <c r="CQ12" s="69" t="n"/>
      <c r="CR12" s="84" t="n"/>
      <c r="CS12" s="83" t="n"/>
      <c r="CU12" s="78" t="n"/>
      <c r="CV12" s="78" t="n"/>
      <c r="CW12" s="78" t="n"/>
      <c r="CX12" s="78" t="n"/>
      <c r="CY12" s="78" t="n"/>
      <c r="CZ12" s="59" t="n"/>
      <c r="DA12" s="67" t="n"/>
      <c r="DB12" s="66" t="n"/>
      <c r="DC12" s="66" t="n"/>
      <c r="DD12" s="66" t="n"/>
      <c r="DE12" s="66" t="n"/>
      <c r="DF12" s="68" t="n"/>
      <c r="DG12" s="66" t="n"/>
      <c r="DH12" s="69" t="n"/>
      <c r="DI12" s="67" t="n"/>
      <c r="DJ12" s="66" t="n"/>
      <c r="DK12" s="66" t="n"/>
      <c r="DL12" s="66" t="n"/>
      <c r="DM12" s="66" t="n"/>
      <c r="DN12" s="68" t="n"/>
      <c r="DO12" s="66" t="n"/>
      <c r="DP12" s="69" t="n"/>
    </row>
    <row r="13" ht="24.95" customHeight="1">
      <c r="A13" s="27" t="n"/>
      <c r="B13" s="64" t="n"/>
      <c r="C13" s="66" t="inlineStr">
        <is>
          <t>Barrios Herrera Yerlis Vanessa</t>
        </is>
      </c>
      <c r="D13" s="178" t="inlineStr">
        <is>
          <t>1.005.525.062</t>
        </is>
      </c>
      <c r="E13" s="66" t="inlineStr">
        <is>
          <t>Yerlis</t>
        </is>
      </c>
      <c r="F13" s="66" t="inlineStr">
        <is>
          <t>Vanessa</t>
        </is>
      </c>
      <c r="G13" s="66" t="inlineStr">
        <is>
          <t>Barrios</t>
        </is>
      </c>
      <c r="H13" s="66" t="inlineStr">
        <is>
          <t>Herrera</t>
        </is>
      </c>
      <c r="I13" s="179" t="inlineStr">
        <is>
          <t>27/06/2002</t>
        </is>
      </c>
      <c r="J13" s="66" t="inlineStr">
        <is>
          <t>C</t>
        </is>
      </c>
      <c r="K13" s="180" t="inlineStr">
        <is>
          <t>1.005.525.062</t>
        </is>
      </c>
      <c r="L13" s="75" t="inlineStr">
        <is>
          <t>SAN BENITO ABAD</t>
        </is>
      </c>
      <c r="M13" s="66" t="inlineStr">
        <is>
          <t>F</t>
        </is>
      </c>
      <c r="N13" s="75" t="inlineStr">
        <is>
          <t>02/07/2026</t>
        </is>
      </c>
      <c r="O13" s="181" t="n"/>
      <c r="P13" s="75" t="inlineStr">
        <is>
          <t>02/07/2026</t>
        </is>
      </c>
      <c r="Q13" s="71" t="inlineStr">
        <is>
          <t>001</t>
        </is>
      </c>
      <c r="R13" s="72" t="n"/>
      <c r="S13" s="72" t="n"/>
      <c r="T13" s="66" t="n"/>
      <c r="U13" s="65" t="n"/>
      <c r="V13" s="72" t="n"/>
      <c r="W13" s="72" t="n"/>
      <c r="X13" s="67" t="n"/>
      <c r="Y13" s="66" t="n"/>
      <c r="Z13" s="66" t="n"/>
      <c r="AA13" s="66" t="n"/>
      <c r="AB13" s="66" t="n"/>
      <c r="AC13" s="68" t="n"/>
      <c r="AD13" s="66" t="n"/>
      <c r="AE13" s="69" t="n"/>
      <c r="AF13" s="67" t="n"/>
      <c r="AG13" s="66" t="n"/>
      <c r="AH13" s="66" t="n"/>
      <c r="AI13" s="66" t="n"/>
      <c r="AJ13" s="66" t="n"/>
      <c r="AK13" s="68" t="n"/>
      <c r="AL13" s="66" t="n"/>
      <c r="AM13" s="69" t="n"/>
      <c r="AN13" s="75" t="n"/>
      <c r="AO13" s="76" t="n"/>
      <c r="AP13" s="67" t="n"/>
      <c r="AQ13" s="66" t="n"/>
      <c r="AR13" s="66" t="n"/>
      <c r="AS13" s="66" t="n"/>
      <c r="AT13" s="66" t="n"/>
      <c r="AU13" s="68" t="n"/>
      <c r="AV13" s="66" t="n"/>
      <c r="AW13" s="69" t="n"/>
      <c r="AY13" s="77" t="n"/>
      <c r="AZ13" s="67" t="n"/>
      <c r="BA13" s="66" t="n"/>
      <c r="BB13" s="66" t="n"/>
      <c r="BC13" s="66" t="n"/>
      <c r="BD13" s="66" t="n"/>
      <c r="BE13" s="68" t="n"/>
      <c r="BF13" s="66" t="n"/>
      <c r="BG13" s="69" t="n"/>
      <c r="BJ13" s="73" t="n"/>
      <c r="BK13" s="59" t="n"/>
      <c r="BL13" s="80" t="n"/>
      <c r="BM13" s="79" t="n"/>
      <c r="BN13" s="81" t="n"/>
      <c r="BQ13" s="82" t="n"/>
      <c r="BR13" s="82" t="n"/>
      <c r="BS13" s="82" t="n"/>
      <c r="BT13" s="67" t="n"/>
      <c r="BU13" s="66" t="n"/>
      <c r="BV13" s="66" t="n"/>
      <c r="BW13" s="66" t="n"/>
      <c r="BX13" s="66" t="n"/>
      <c r="BY13" s="68" t="n"/>
      <c r="BZ13" s="66" t="n"/>
      <c r="CA13" s="69" t="n"/>
      <c r="CB13" s="67" t="n"/>
      <c r="CC13" s="66" t="n"/>
      <c r="CD13" s="66" t="n"/>
      <c r="CE13" s="66" t="n"/>
      <c r="CF13" s="66" t="n"/>
      <c r="CG13" s="68" t="n"/>
      <c r="CH13" s="66" t="n"/>
      <c r="CI13" s="69" t="n"/>
      <c r="CJ13" s="67" t="n"/>
      <c r="CK13" s="66" t="n"/>
      <c r="CL13" s="66" t="n"/>
      <c r="CM13" s="66" t="n"/>
      <c r="CN13" s="66" t="n"/>
      <c r="CO13" s="68" t="n"/>
      <c r="CP13" s="66" t="n"/>
      <c r="CQ13" s="69" t="n"/>
      <c r="CR13" s="84" t="n"/>
      <c r="CS13" s="83" t="n"/>
      <c r="CU13" s="78" t="n"/>
      <c r="CV13" s="78" t="n"/>
      <c r="CW13" s="78" t="n"/>
      <c r="CX13" s="78" t="n"/>
      <c r="CY13" s="78" t="n"/>
      <c r="CZ13" s="59" t="n"/>
      <c r="DA13" s="67" t="n"/>
      <c r="DB13" s="66" t="n"/>
      <c r="DC13" s="66" t="n"/>
      <c r="DD13" s="66" t="n"/>
      <c r="DE13" s="66" t="n"/>
      <c r="DF13" s="68" t="n"/>
      <c r="DG13" s="66" t="n"/>
      <c r="DH13" s="69" t="n"/>
      <c r="DI13" s="67" t="n"/>
      <c r="DJ13" s="66" t="n"/>
      <c r="DK13" s="66" t="n"/>
      <c r="DL13" s="66" t="n"/>
      <c r="DM13" s="66" t="n"/>
      <c r="DN13" s="68" t="n"/>
      <c r="DO13" s="66" t="n"/>
      <c r="DP13" s="69" t="n"/>
    </row>
    <row r="14" ht="24.95" customHeight="1">
      <c r="A14" s="27" t="n"/>
      <c r="B14" s="64" t="n"/>
      <c r="C14" s="66" t="inlineStr">
        <is>
          <t>Orozco Manco Manuela</t>
        </is>
      </c>
      <c r="D14" s="178" t="inlineStr">
        <is>
          <t>1.017.246.891</t>
        </is>
      </c>
      <c r="E14" s="66" t="inlineStr">
        <is>
          <t>Manuela</t>
        </is>
      </c>
      <c r="F14" s="66" t="inlineStr"/>
      <c r="G14" s="66" t="inlineStr">
        <is>
          <t>Orozco</t>
        </is>
      </c>
      <c r="H14" s="66" t="inlineStr">
        <is>
          <t>Manco</t>
        </is>
      </c>
      <c r="I14" s="179" t="inlineStr">
        <is>
          <t>30/03/1997</t>
        </is>
      </c>
      <c r="J14" s="66" t="inlineStr">
        <is>
          <t>C</t>
        </is>
      </c>
      <c r="K14" s="180" t="inlineStr">
        <is>
          <t>1.017.246.891</t>
        </is>
      </c>
      <c r="L14" s="75" t="inlineStr">
        <is>
          <t>MEDELLIN</t>
        </is>
      </c>
      <c r="M14" s="66" t="inlineStr">
        <is>
          <t>F</t>
        </is>
      </c>
      <c r="N14" s="75" t="inlineStr">
        <is>
          <t>02/07/2026</t>
        </is>
      </c>
      <c r="O14" s="181" t="n"/>
      <c r="P14" s="75" t="inlineStr">
        <is>
          <t>02/07/2026</t>
        </is>
      </c>
      <c r="Q14" s="71" t="inlineStr">
        <is>
          <t>001</t>
        </is>
      </c>
      <c r="R14" s="72" t="n"/>
      <c r="S14" s="72" t="n"/>
      <c r="T14" s="66" t="n"/>
      <c r="U14" s="65" t="n"/>
      <c r="V14" s="72" t="n"/>
      <c r="W14" s="72" t="n"/>
      <c r="X14" s="67" t="n"/>
      <c r="Y14" s="66" t="n"/>
      <c r="Z14" s="66" t="n"/>
      <c r="AA14" s="66" t="n"/>
      <c r="AB14" s="66" t="n"/>
      <c r="AC14" s="68" t="n"/>
      <c r="AD14" s="66" t="n"/>
      <c r="AE14" s="69" t="n"/>
      <c r="AF14" s="67" t="n"/>
      <c r="AG14" s="66" t="n"/>
      <c r="AH14" s="66" t="n"/>
      <c r="AI14" s="66" t="n"/>
      <c r="AJ14" s="66" t="n"/>
      <c r="AK14" s="68" t="n"/>
      <c r="AL14" s="66" t="n"/>
      <c r="AM14" s="69" t="n"/>
      <c r="AN14" s="75" t="n"/>
      <c r="AO14" s="76" t="n"/>
      <c r="AP14" s="67" t="n"/>
      <c r="AQ14" s="66" t="n"/>
      <c r="AR14" s="66" t="n"/>
      <c r="AS14" s="66" t="n"/>
      <c r="AT14" s="66" t="n"/>
      <c r="AU14" s="68" t="n"/>
      <c r="AV14" s="66" t="n"/>
      <c r="AW14" s="69" t="n"/>
      <c r="AY14" s="77" t="n"/>
      <c r="AZ14" s="67" t="n"/>
      <c r="BA14" s="66" t="n"/>
      <c r="BB14" s="66" t="n"/>
      <c r="BC14" s="66" t="n"/>
      <c r="BD14" s="66" t="n"/>
      <c r="BE14" s="68" t="n"/>
      <c r="BF14" s="66" t="n"/>
      <c r="BG14" s="69" t="n"/>
      <c r="BJ14" s="73" t="n"/>
      <c r="BK14" s="59" t="n"/>
      <c r="BL14" s="80" t="n"/>
      <c r="BM14" s="79" t="n"/>
      <c r="BN14" s="81" t="n"/>
      <c r="BQ14" s="82" t="n"/>
      <c r="BR14" s="82" t="n"/>
      <c r="BS14" s="82" t="n"/>
      <c r="BT14" s="67" t="n"/>
      <c r="BU14" s="66" t="n"/>
      <c r="BV14" s="66" t="n"/>
      <c r="BW14" s="66" t="n"/>
      <c r="BX14" s="66" t="n"/>
      <c r="BY14" s="68" t="n"/>
      <c r="BZ14" s="66" t="n"/>
      <c r="CA14" s="69" t="n"/>
      <c r="CB14" s="67" t="n"/>
      <c r="CC14" s="66" t="n"/>
      <c r="CD14" s="66" t="n"/>
      <c r="CE14" s="66" t="n"/>
      <c r="CF14" s="66" t="n"/>
      <c r="CG14" s="68" t="n"/>
      <c r="CH14" s="66" t="n"/>
      <c r="CI14" s="69" t="n"/>
      <c r="CJ14" s="67" t="n"/>
      <c r="CK14" s="66" t="n"/>
      <c r="CL14" s="66" t="n"/>
      <c r="CM14" s="66" t="n"/>
      <c r="CN14" s="66" t="n"/>
      <c r="CO14" s="68" t="n"/>
      <c r="CP14" s="66" t="n"/>
      <c r="CQ14" s="69" t="n"/>
      <c r="CR14" s="84" t="n"/>
      <c r="CS14" s="83" t="n"/>
      <c r="CU14" s="78" t="n"/>
      <c r="CV14" s="78" t="n"/>
      <c r="CW14" s="78" t="n"/>
      <c r="CX14" s="78" t="n"/>
      <c r="CY14" s="78" t="n"/>
      <c r="CZ14" s="59" t="n"/>
      <c r="DA14" s="67" t="n"/>
      <c r="DB14" s="66" t="n"/>
      <c r="DC14" s="66" t="n"/>
      <c r="DD14" s="66" t="n"/>
      <c r="DE14" s="66" t="n"/>
      <c r="DF14" s="68" t="n"/>
      <c r="DG14" s="66" t="n"/>
      <c r="DH14" s="69" t="n"/>
      <c r="DI14" s="67" t="n"/>
      <c r="DJ14" s="66" t="n"/>
      <c r="DK14" s="66" t="n"/>
      <c r="DL14" s="66" t="n"/>
      <c r="DM14" s="66" t="n"/>
      <c r="DN14" s="68" t="n"/>
      <c r="DO14" s="66" t="n"/>
      <c r="DP14" s="69" t="n"/>
    </row>
    <row r="15" ht="24.95" customHeight="1">
      <c r="A15" s="27" t="n"/>
      <c r="B15" s="64" t="n"/>
      <c r="C15" s="66" t="inlineStr">
        <is>
          <t>Mosquera Mosquera Claudia Maritza</t>
        </is>
      </c>
      <c r="D15" s="178" t="inlineStr">
        <is>
          <t>1.133.709.029</t>
        </is>
      </c>
      <c r="E15" s="66" t="inlineStr">
        <is>
          <t>Claudia</t>
        </is>
      </c>
      <c r="F15" s="66" t="inlineStr">
        <is>
          <t>Maritza</t>
        </is>
      </c>
      <c r="G15" s="66" t="inlineStr">
        <is>
          <t>Mosquera</t>
        </is>
      </c>
      <c r="H15" s="66" t="inlineStr">
        <is>
          <t>Mosquera</t>
        </is>
      </c>
      <c r="I15" s="179" t="inlineStr">
        <is>
          <t>05/06/2001</t>
        </is>
      </c>
      <c r="J15" s="66" t="inlineStr">
        <is>
          <t>C</t>
        </is>
      </c>
      <c r="K15" s="180" t="inlineStr">
        <is>
          <t>1.133.709.029</t>
        </is>
      </c>
      <c r="L15" s="75" t="inlineStr">
        <is>
          <t>CONDOTO</t>
        </is>
      </c>
      <c r="M15" s="66" t="inlineStr">
        <is>
          <t>F</t>
        </is>
      </c>
      <c r="N15" s="75" t="inlineStr">
        <is>
          <t>02/07/2026</t>
        </is>
      </c>
      <c r="O15" s="181" t="n"/>
      <c r="P15" s="75" t="inlineStr">
        <is>
          <t>02/07/2026</t>
        </is>
      </c>
      <c r="Q15" s="71" t="inlineStr">
        <is>
          <t>001</t>
        </is>
      </c>
      <c r="R15" s="72" t="n"/>
      <c r="S15" s="72" t="n"/>
      <c r="T15" s="66" t="n"/>
      <c r="U15" s="65" t="n"/>
      <c r="V15" s="72" t="n"/>
      <c r="W15" s="72" t="n"/>
      <c r="X15" s="67" t="n"/>
      <c r="Y15" s="66" t="n"/>
      <c r="Z15" s="66" t="n"/>
      <c r="AA15" s="66" t="n"/>
      <c r="AB15" s="66" t="n"/>
      <c r="AC15" s="68" t="n"/>
      <c r="AD15" s="66" t="n"/>
      <c r="AE15" s="69" t="n"/>
      <c r="AF15" s="67" t="n"/>
      <c r="AG15" s="66" t="n"/>
      <c r="AH15" s="66" t="n"/>
      <c r="AI15" s="66" t="n"/>
      <c r="AJ15" s="66" t="n"/>
      <c r="AK15" s="68" t="n"/>
      <c r="AL15" s="66" t="n"/>
      <c r="AM15" s="69" t="n"/>
      <c r="AN15" s="75" t="n"/>
      <c r="AO15" s="76" t="n"/>
      <c r="AP15" s="67" t="n"/>
      <c r="AQ15" s="66" t="n"/>
      <c r="AR15" s="66" t="n"/>
      <c r="AS15" s="66" t="n"/>
      <c r="AT15" s="66" t="n"/>
      <c r="AU15" s="68" t="n"/>
      <c r="AV15" s="66" t="n"/>
      <c r="AW15" s="69" t="n"/>
      <c r="AY15" s="77" t="n"/>
      <c r="AZ15" s="67" t="n"/>
      <c r="BA15" s="66" t="n"/>
      <c r="BB15" s="66" t="n"/>
      <c r="BC15" s="66" t="n"/>
      <c r="BD15" s="66" t="n"/>
      <c r="BE15" s="68" t="n"/>
      <c r="BF15" s="66" t="n"/>
      <c r="BG15" s="69" t="n"/>
      <c r="BJ15" s="73" t="n"/>
      <c r="BK15" s="59" t="n"/>
      <c r="BL15" s="80" t="n"/>
      <c r="BM15" s="79" t="n"/>
      <c r="BN15" s="81" t="n"/>
      <c r="BQ15" s="82" t="n"/>
      <c r="BR15" s="82" t="n"/>
      <c r="BS15" s="82" t="n"/>
      <c r="BT15" s="67" t="n"/>
      <c r="BU15" s="66" t="n"/>
      <c r="BV15" s="66" t="n"/>
      <c r="BW15" s="66" t="n"/>
      <c r="BX15" s="66" t="n"/>
      <c r="BY15" s="68" t="n"/>
      <c r="BZ15" s="66" t="n"/>
      <c r="CA15" s="69" t="n"/>
      <c r="CB15" s="67" t="n"/>
      <c r="CC15" s="66" t="n"/>
      <c r="CD15" s="66" t="n"/>
      <c r="CE15" s="66" t="n"/>
      <c r="CF15" s="66" t="n"/>
      <c r="CG15" s="68" t="n"/>
      <c r="CH15" s="66" t="n"/>
      <c r="CI15" s="69" t="n"/>
      <c r="CJ15" s="67" t="n"/>
      <c r="CK15" s="66" t="n"/>
      <c r="CL15" s="66" t="n"/>
      <c r="CM15" s="66" t="n"/>
      <c r="CN15" s="66" t="n"/>
      <c r="CO15" s="68" t="n"/>
      <c r="CP15" s="66" t="n"/>
      <c r="CQ15" s="69" t="n"/>
      <c r="CR15" s="84" t="n"/>
      <c r="CS15" s="83" t="n"/>
      <c r="CU15" s="78" t="n"/>
      <c r="CV15" s="78" t="n"/>
      <c r="CW15" s="78" t="n"/>
      <c r="CX15" s="78" t="n"/>
      <c r="CY15" s="78" t="n"/>
      <c r="CZ15" s="59" t="n"/>
      <c r="DA15" s="67" t="n"/>
      <c r="DB15" s="66" t="n"/>
      <c r="DC15" s="66" t="n"/>
      <c r="DD15" s="66" t="n"/>
      <c r="DE15" s="66" t="n"/>
      <c r="DF15" s="68" t="n"/>
      <c r="DG15" s="66" t="n"/>
      <c r="DH15" s="69" t="n"/>
      <c r="DI15" s="67" t="n"/>
      <c r="DJ15" s="66" t="n"/>
      <c r="DK15" s="66" t="n"/>
      <c r="DL15" s="66" t="n"/>
      <c r="DM15" s="66" t="n"/>
      <c r="DN15" s="68" t="n"/>
      <c r="DO15" s="66" t="n"/>
      <c r="DP15" s="69" t="n"/>
    </row>
    <row r="16" ht="24.95" customHeight="1">
      <c r="A16" s="27" t="n"/>
      <c r="B16" s="64" t="n"/>
      <c r="C16" s="66" t="inlineStr">
        <is>
          <t>Rojas Parra Johana Michel</t>
        </is>
      </c>
      <c r="D16" s="178" t="inlineStr">
        <is>
          <t>1.033.181.083</t>
        </is>
      </c>
      <c r="E16" s="66" t="inlineStr">
        <is>
          <t>Johana</t>
        </is>
      </c>
      <c r="F16" s="66" t="inlineStr">
        <is>
          <t>Michel</t>
        </is>
      </c>
      <c r="G16" s="66" t="inlineStr">
        <is>
          <t>Rojas</t>
        </is>
      </c>
      <c r="H16" s="66" t="inlineStr">
        <is>
          <t>Parra</t>
        </is>
      </c>
      <c r="I16" s="179" t="inlineStr">
        <is>
          <t>31/12/2006</t>
        </is>
      </c>
      <c r="J16" s="66" t="inlineStr">
        <is>
          <t>C</t>
        </is>
      </c>
      <c r="K16" s="180" t="inlineStr">
        <is>
          <t>1.033.181.083</t>
        </is>
      </c>
      <c r="L16" s="75" t="inlineStr">
        <is>
          <t>MEDELLIN</t>
        </is>
      </c>
      <c r="M16" s="66" t="inlineStr">
        <is>
          <t>F</t>
        </is>
      </c>
      <c r="N16" s="75" t="inlineStr">
        <is>
          <t>02/07/2026</t>
        </is>
      </c>
      <c r="O16" s="181" t="n"/>
      <c r="P16" s="75" t="inlineStr">
        <is>
          <t>02/07/2026</t>
        </is>
      </c>
      <c r="Q16" s="71" t="inlineStr">
        <is>
          <t>003</t>
        </is>
      </c>
      <c r="R16" s="72" t="n"/>
      <c r="S16" s="72" t="n"/>
      <c r="T16" s="66" t="n"/>
      <c r="U16" s="65" t="n"/>
      <c r="V16" s="72" t="n"/>
      <c r="W16" s="72" t="n"/>
      <c r="X16" s="67" t="n"/>
      <c r="Y16" s="66" t="n"/>
      <c r="Z16" s="66" t="n"/>
      <c r="AA16" s="66" t="n"/>
      <c r="AB16" s="66" t="n"/>
      <c r="AC16" s="68" t="n"/>
      <c r="AD16" s="66" t="n"/>
      <c r="AE16" s="69" t="n"/>
      <c r="AF16" s="67" t="n"/>
      <c r="AG16" s="66" t="n"/>
      <c r="AH16" s="66" t="n"/>
      <c r="AI16" s="66" t="n"/>
      <c r="AJ16" s="66" t="n"/>
      <c r="AK16" s="68" t="n"/>
      <c r="AL16" s="66" t="n"/>
      <c r="AM16" s="69" t="n"/>
      <c r="AN16" s="75" t="n"/>
      <c r="AO16" s="76" t="n"/>
      <c r="AP16" s="67" t="n"/>
      <c r="AQ16" s="66" t="n"/>
      <c r="AR16" s="66" t="n"/>
      <c r="AS16" s="66" t="n"/>
      <c r="AT16" s="66" t="n"/>
      <c r="AU16" s="68" t="n"/>
      <c r="AV16" s="66" t="n"/>
      <c r="AW16" s="69" t="n"/>
      <c r="AY16" s="77" t="n"/>
      <c r="AZ16" s="67" t="n"/>
      <c r="BA16" s="66" t="n"/>
      <c r="BB16" s="66" t="n"/>
      <c r="BC16" s="66" t="n"/>
      <c r="BD16" s="66" t="n"/>
      <c r="BE16" s="68" t="n"/>
      <c r="BF16" s="66" t="n"/>
      <c r="BG16" s="69" t="n"/>
      <c r="BH16" s="77" t="n"/>
      <c r="BJ16" s="73" t="n"/>
      <c r="BK16" s="59" t="n"/>
      <c r="BL16" s="80" t="n"/>
      <c r="BM16" s="79" t="n"/>
      <c r="BN16" s="81" t="n"/>
      <c r="BQ16" s="82" t="n"/>
      <c r="BR16" s="82" t="n"/>
      <c r="BS16" s="82" t="n"/>
      <c r="BT16" s="67" t="n"/>
      <c r="BU16" s="66" t="n"/>
      <c r="BV16" s="66" t="n"/>
      <c r="BW16" s="66" t="n"/>
      <c r="BX16" s="66" t="n"/>
      <c r="BY16" s="68" t="n"/>
      <c r="BZ16" s="66" t="n"/>
      <c r="CA16" s="69" t="n"/>
      <c r="CB16" s="67" t="n"/>
      <c r="CC16" s="66" t="n"/>
      <c r="CD16" s="66" t="n"/>
      <c r="CE16" s="66" t="n"/>
      <c r="CF16" s="66" t="n"/>
      <c r="CG16" s="68" t="n"/>
      <c r="CH16" s="66" t="n"/>
      <c r="CI16" s="69" t="n"/>
      <c r="CJ16" s="67" t="n"/>
      <c r="CK16" s="66" t="n"/>
      <c r="CL16" s="66" t="n"/>
      <c r="CM16" s="66" t="n"/>
      <c r="CN16" s="66" t="n"/>
      <c r="CO16" s="68" t="n"/>
      <c r="CP16" s="66" t="n"/>
      <c r="CQ16" s="69" t="n"/>
      <c r="CR16" s="84" t="n"/>
      <c r="CS16" s="83" t="n"/>
      <c r="CU16" s="78" t="n"/>
      <c r="CV16" s="78" t="n"/>
      <c r="CW16" s="78" t="n"/>
      <c r="CX16" s="78" t="n"/>
      <c r="CY16" s="78" t="n"/>
      <c r="CZ16" s="59" t="n"/>
      <c r="DA16" s="67" t="n"/>
      <c r="DB16" s="66" t="n"/>
      <c r="DC16" s="66" t="n"/>
      <c r="DD16" s="66" t="n"/>
      <c r="DE16" s="66" t="n"/>
      <c r="DF16" s="68" t="n"/>
      <c r="DG16" s="66" t="n"/>
      <c r="DH16" s="69" t="n"/>
      <c r="DI16" s="67" t="n"/>
      <c r="DJ16" s="66" t="n"/>
      <c r="DK16" s="66" t="n"/>
      <c r="DL16" s="66" t="n"/>
      <c r="DM16" s="66" t="n"/>
      <c r="DN16" s="68" t="n"/>
      <c r="DO16" s="66" t="n"/>
      <c r="DP16" s="69" t="n"/>
    </row>
    <row r="17" ht="24.95" customHeight="1">
      <c r="A17" s="27" t="n"/>
      <c r="B17" s="64" t="n"/>
      <c r="C17" s="66" t="inlineStr">
        <is>
          <t>Caro Restrepo Leider Andres</t>
        </is>
      </c>
      <c r="D17" s="178" t="inlineStr">
        <is>
          <t>1.023.635.133</t>
        </is>
      </c>
      <c r="E17" s="66" t="inlineStr">
        <is>
          <t>Leider</t>
        </is>
      </c>
      <c r="F17" s="66" t="inlineStr">
        <is>
          <t>Andres</t>
        </is>
      </c>
      <c r="G17" s="66" t="inlineStr">
        <is>
          <t>Caro</t>
        </is>
      </c>
      <c r="H17" s="66" t="inlineStr">
        <is>
          <t>Restrepo</t>
        </is>
      </c>
      <c r="I17" s="179" t="inlineStr">
        <is>
          <t>23/06/2008</t>
        </is>
      </c>
      <c r="J17" s="66" t="inlineStr">
        <is>
          <t>C</t>
        </is>
      </c>
      <c r="K17" s="180" t="inlineStr">
        <is>
          <t>1.023.635.133</t>
        </is>
      </c>
      <c r="L17" s="75" t="inlineStr">
        <is>
          <t>COPACABANA</t>
        </is>
      </c>
      <c r="M17" s="66" t="inlineStr">
        <is>
          <t>M</t>
        </is>
      </c>
      <c r="N17" s="75" t="inlineStr">
        <is>
          <t>02/07/2026</t>
        </is>
      </c>
      <c r="O17" s="181" t="n"/>
      <c r="P17" s="75" t="inlineStr">
        <is>
          <t>02/07/2026</t>
        </is>
      </c>
      <c r="Q17" s="71" t="inlineStr">
        <is>
          <t>003</t>
        </is>
      </c>
      <c r="R17" s="72" t="n"/>
      <c r="S17" s="72" t="n"/>
      <c r="T17" s="66" t="n"/>
      <c r="U17" s="65" t="n"/>
      <c r="V17" s="72" t="n"/>
      <c r="W17" s="72" t="n"/>
      <c r="X17" s="67" t="n"/>
      <c r="Y17" s="66" t="n"/>
      <c r="Z17" s="66" t="n"/>
      <c r="AA17" s="66" t="n"/>
      <c r="AB17" s="66" t="n"/>
      <c r="AC17" s="68" t="n"/>
      <c r="AD17" s="66" t="n"/>
      <c r="AE17" s="69" t="n"/>
      <c r="AF17" s="67" t="n"/>
      <c r="AG17" s="66" t="n"/>
      <c r="AH17" s="66" t="n"/>
      <c r="AI17" s="66" t="n"/>
      <c r="AJ17" s="66" t="n"/>
      <c r="AK17" s="68" t="n"/>
      <c r="AL17" s="66" t="n"/>
      <c r="AM17" s="69" t="n"/>
      <c r="AN17" s="75" t="n"/>
      <c r="AO17" s="76" t="n"/>
      <c r="AP17" s="67" t="n"/>
      <c r="AQ17" s="66" t="n"/>
      <c r="AR17" s="66" t="n"/>
      <c r="AS17" s="66" t="n"/>
      <c r="AT17" s="66" t="n"/>
      <c r="AU17" s="68" t="n"/>
      <c r="AV17" s="66" t="n"/>
      <c r="AW17" s="69" t="n"/>
      <c r="AY17" s="77" t="n"/>
      <c r="AZ17" s="67" t="n"/>
      <c r="BA17" s="66" t="n"/>
      <c r="BB17" s="66" t="n"/>
      <c r="BC17" s="66" t="n"/>
      <c r="BD17" s="66" t="n"/>
      <c r="BE17" s="68" t="n"/>
      <c r="BF17" s="66" t="n"/>
      <c r="BG17" s="69" t="n"/>
      <c r="BJ17" s="73" t="n"/>
      <c r="BK17" s="59" t="n"/>
      <c r="BL17" s="80" t="n"/>
      <c r="BM17" s="79" t="n"/>
      <c r="BN17" s="81" t="n"/>
      <c r="BQ17" s="82" t="n"/>
      <c r="BR17" s="82" t="n"/>
      <c r="BS17" s="82" t="n"/>
      <c r="BT17" s="67" t="n"/>
      <c r="BU17" s="66" t="n"/>
      <c r="BV17" s="66" t="n"/>
      <c r="BW17" s="66" t="n"/>
      <c r="BX17" s="66" t="n"/>
      <c r="BY17" s="68" t="n"/>
      <c r="BZ17" s="66" t="n"/>
      <c r="CA17" s="69" t="n"/>
      <c r="CB17" s="67" t="n"/>
      <c r="CC17" s="66" t="n"/>
      <c r="CD17" s="66" t="n"/>
      <c r="CE17" s="66" t="n"/>
      <c r="CF17" s="66" t="n"/>
      <c r="CG17" s="68" t="n"/>
      <c r="CH17" s="66" t="n"/>
      <c r="CI17" s="69" t="n"/>
      <c r="CJ17" s="67" t="n"/>
      <c r="CK17" s="66" t="n"/>
      <c r="CL17" s="66" t="n"/>
      <c r="CM17" s="66" t="n"/>
      <c r="CN17" s="66" t="n"/>
      <c r="CO17" s="68" t="n"/>
      <c r="CP17" s="66" t="n"/>
      <c r="CQ17" s="69" t="n"/>
      <c r="CR17" s="84" t="n"/>
      <c r="CS17" s="83" t="n"/>
      <c r="CU17" s="78" t="n"/>
      <c r="CV17" s="78" t="n"/>
      <c r="CW17" s="78" t="n"/>
      <c r="CX17" s="78" t="n"/>
      <c r="CY17" s="78" t="n"/>
      <c r="CZ17" s="59" t="n"/>
      <c r="DA17" s="67" t="n"/>
      <c r="DB17" s="66" t="n"/>
      <c r="DC17" s="66" t="n"/>
      <c r="DD17" s="66" t="n"/>
      <c r="DE17" s="66" t="n"/>
      <c r="DF17" s="68" t="n"/>
      <c r="DG17" s="66" t="n"/>
      <c r="DH17" s="69" t="n"/>
      <c r="DI17" s="67" t="n"/>
      <c r="DJ17" s="66" t="n"/>
      <c r="DK17" s="66" t="n"/>
      <c r="DL17" s="66" t="n"/>
      <c r="DM17" s="66" t="n"/>
      <c r="DN17" s="68" t="n"/>
      <c r="DO17" s="66" t="n"/>
      <c r="DP17" s="69" t="n"/>
    </row>
    <row r="18" ht="24.95" customHeight="1">
      <c r="A18" s="27" t="n"/>
      <c r="B18" s="64" t="n"/>
      <c r="C18" s="66" t="inlineStr">
        <is>
          <t>Montalvo Lambertinez Anyi Paola</t>
        </is>
      </c>
      <c r="D18" s="178" t="inlineStr">
        <is>
          <t>1.193.089.435</t>
        </is>
      </c>
      <c r="E18" s="66" t="inlineStr">
        <is>
          <t>Anyi</t>
        </is>
      </c>
      <c r="F18" s="66" t="inlineStr">
        <is>
          <t>Paola</t>
        </is>
      </c>
      <c r="G18" s="66" t="inlineStr">
        <is>
          <t>Montalvo</t>
        </is>
      </c>
      <c r="H18" s="66" t="inlineStr">
        <is>
          <t>Lambertinez</t>
        </is>
      </c>
      <c r="I18" s="179" t="inlineStr">
        <is>
          <t>15/05/1999</t>
        </is>
      </c>
      <c r="J18" s="66" t="inlineStr">
        <is>
          <t>C</t>
        </is>
      </c>
      <c r="K18" s="180" t="inlineStr">
        <is>
          <t>1.193.089.435</t>
        </is>
      </c>
      <c r="L18" s="75" t="inlineStr">
        <is>
          <t>ARBOLETES</t>
        </is>
      </c>
      <c r="M18" s="66" t="inlineStr">
        <is>
          <t>F</t>
        </is>
      </c>
      <c r="N18" s="75" t="inlineStr">
        <is>
          <t>02/07/2026</t>
        </is>
      </c>
      <c r="O18" s="181" t="n"/>
      <c r="P18" s="75" t="inlineStr">
        <is>
          <t>02/07/2026</t>
        </is>
      </c>
      <c r="Q18" s="71" t="inlineStr">
        <is>
          <t>001</t>
        </is>
      </c>
      <c r="R18" s="72" t="n"/>
      <c r="S18" s="72" t="n"/>
      <c r="T18" s="66" t="n"/>
      <c r="U18" s="65" t="n"/>
      <c r="V18" s="72" t="n"/>
      <c r="W18" s="72" t="n"/>
      <c r="X18" s="67" t="n"/>
      <c r="Y18" s="66" t="n"/>
      <c r="Z18" s="66" t="n"/>
      <c r="AA18" s="66" t="n"/>
      <c r="AB18" s="66" t="n"/>
      <c r="AC18" s="68" t="n"/>
      <c r="AD18" s="66" t="n"/>
      <c r="AE18" s="69" t="n"/>
      <c r="AF18" s="67" t="n"/>
      <c r="AG18" s="66" t="n"/>
      <c r="AH18" s="66" t="n"/>
      <c r="AI18" s="66" t="n"/>
      <c r="AJ18" s="66" t="n"/>
      <c r="AK18" s="68" t="n"/>
      <c r="AL18" s="66" t="n"/>
      <c r="AM18" s="69" t="n"/>
      <c r="AN18" s="75" t="n"/>
      <c r="AO18" s="76" t="n"/>
      <c r="AP18" s="67" t="n"/>
      <c r="AQ18" s="66" t="n"/>
      <c r="AR18" s="66" t="n"/>
      <c r="AS18" s="66" t="n"/>
      <c r="AT18" s="66" t="n"/>
      <c r="AU18" s="68" t="n"/>
      <c r="AV18" s="66" t="n"/>
      <c r="AW18" s="69" t="n"/>
      <c r="AY18" s="77" t="n"/>
      <c r="AZ18" s="67" t="n"/>
      <c r="BA18" s="66" t="n"/>
      <c r="BB18" s="66" t="n"/>
      <c r="BC18" s="66" t="n"/>
      <c r="BD18" s="66" t="n"/>
      <c r="BE18" s="68" t="n"/>
      <c r="BF18" s="66" t="n"/>
      <c r="BG18" s="69" t="n"/>
      <c r="BJ18" s="73" t="n"/>
      <c r="BK18" s="59" t="n"/>
      <c r="BL18" s="80" t="n"/>
      <c r="BM18" s="79" t="n"/>
      <c r="BN18" s="81" t="n"/>
      <c r="BQ18" s="82" t="n"/>
      <c r="BR18" s="82" t="n"/>
      <c r="BS18" s="82" t="n"/>
      <c r="BT18" s="67" t="n"/>
      <c r="BU18" s="66" t="n"/>
      <c r="BV18" s="66" t="n"/>
      <c r="BW18" s="66" t="n"/>
      <c r="BX18" s="66" t="n"/>
      <c r="BY18" s="68" t="n"/>
      <c r="BZ18" s="66" t="n"/>
      <c r="CA18" s="69" t="n"/>
      <c r="CB18" s="67" t="n"/>
      <c r="CC18" s="66" t="n"/>
      <c r="CD18" s="66" t="n"/>
      <c r="CE18" s="66" t="n"/>
      <c r="CF18" s="66" t="n"/>
      <c r="CG18" s="68" t="n"/>
      <c r="CH18" s="66" t="n"/>
      <c r="CI18" s="69" t="n"/>
      <c r="CJ18" s="67" t="n"/>
      <c r="CK18" s="66" t="n"/>
      <c r="CL18" s="66" t="n"/>
      <c r="CM18" s="66" t="n"/>
      <c r="CN18" s="66" t="n"/>
      <c r="CO18" s="68" t="n"/>
      <c r="CP18" s="66" t="n"/>
      <c r="CQ18" s="69" t="n"/>
      <c r="CR18" s="84" t="n"/>
      <c r="CS18" s="83" t="n"/>
      <c r="CU18" s="78" t="n"/>
      <c r="CV18" s="78" t="n"/>
      <c r="CW18" s="78" t="n"/>
      <c r="CX18" s="78" t="n"/>
      <c r="CY18" s="78" t="n"/>
      <c r="CZ18" s="59" t="n"/>
      <c r="DA18" s="67" t="n"/>
      <c r="DB18" s="66" t="n"/>
      <c r="DC18" s="66" t="n"/>
      <c r="DD18" s="66" t="n"/>
      <c r="DE18" s="66" t="n"/>
      <c r="DF18" s="68" t="n"/>
      <c r="DG18" s="66" t="n"/>
      <c r="DH18" s="69" t="n"/>
      <c r="DI18" s="67" t="n"/>
      <c r="DJ18" s="66" t="n"/>
      <c r="DK18" s="66" t="n"/>
      <c r="DL18" s="66" t="n"/>
      <c r="DM18" s="66" t="n"/>
      <c r="DN18" s="68" t="n"/>
      <c r="DO18" s="66" t="n"/>
      <c r="DP18" s="69" t="n"/>
    </row>
    <row r="19" ht="24.95" customHeight="1">
      <c r="A19" s="27" t="n"/>
      <c r="B19" s="64" t="n"/>
      <c r="C19" s="66" t="inlineStr">
        <is>
          <t>Builes Rodriguez Valentina</t>
        </is>
      </c>
      <c r="D19" s="178" t="inlineStr">
        <is>
          <t>1.063.307.992</t>
        </is>
      </c>
      <c r="E19" s="66" t="inlineStr">
        <is>
          <t>Valentina</t>
        </is>
      </c>
      <c r="F19" s="66" t="inlineStr"/>
      <c r="G19" s="66" t="inlineStr">
        <is>
          <t>Builes</t>
        </is>
      </c>
      <c r="H19" s="66" t="inlineStr">
        <is>
          <t>Rodriguez</t>
        </is>
      </c>
      <c r="I19" s="179" t="inlineStr">
        <is>
          <t>03/11/1998</t>
        </is>
      </c>
      <c r="J19" s="66" t="inlineStr">
        <is>
          <t>C</t>
        </is>
      </c>
      <c r="K19" s="180" t="inlineStr">
        <is>
          <t>1.063.307.992</t>
        </is>
      </c>
      <c r="L19" s="75" t="inlineStr">
        <is>
          <t>MONTELIBANO</t>
        </is>
      </c>
      <c r="M19" s="66" t="inlineStr">
        <is>
          <t>F</t>
        </is>
      </c>
      <c r="N19" s="75" t="inlineStr">
        <is>
          <t>02/07/2026</t>
        </is>
      </c>
      <c r="O19" s="181" t="n"/>
      <c r="P19" s="75" t="inlineStr">
        <is>
          <t>02/07/2026</t>
        </is>
      </c>
      <c r="Q19" s="71" t="inlineStr">
        <is>
          <t>001</t>
        </is>
      </c>
      <c r="R19" s="72" t="n"/>
      <c r="S19" s="72" t="n"/>
      <c r="T19" s="66" t="n"/>
      <c r="U19" s="65" t="n"/>
      <c r="V19" s="72" t="n"/>
      <c r="W19" s="72" t="n"/>
      <c r="X19" s="67" t="n"/>
      <c r="Y19" s="66" t="n"/>
      <c r="Z19" s="66" t="n"/>
      <c r="AA19" s="66" t="n"/>
      <c r="AB19" s="66" t="n"/>
      <c r="AC19" s="68" t="n"/>
      <c r="AD19" s="66" t="n"/>
      <c r="AE19" s="69" t="n"/>
      <c r="AF19" s="67" t="n"/>
      <c r="AG19" s="66" t="n"/>
      <c r="AH19" s="66" t="n"/>
      <c r="AI19" s="66" t="n"/>
      <c r="AJ19" s="66" t="n"/>
      <c r="AK19" s="68" t="n"/>
      <c r="AL19" s="66" t="n"/>
      <c r="AM19" s="69" t="n"/>
      <c r="AN19" s="75" t="n"/>
      <c r="AO19" s="76" t="n"/>
      <c r="AP19" s="67" t="n"/>
      <c r="AQ19" s="66" t="n"/>
      <c r="AR19" s="66" t="n"/>
      <c r="AS19" s="66" t="n"/>
      <c r="AT19" s="66" t="n"/>
      <c r="AU19" s="68" t="n"/>
      <c r="AV19" s="66" t="n"/>
      <c r="AW19" s="69" t="n"/>
      <c r="AY19" s="77" t="n"/>
      <c r="AZ19" s="67" t="n"/>
      <c r="BA19" s="66" t="n"/>
      <c r="BB19" s="66" t="n"/>
      <c r="BC19" s="66" t="n"/>
      <c r="BD19" s="66" t="n"/>
      <c r="BE19" s="68" t="n"/>
      <c r="BF19" s="66" t="n"/>
      <c r="BG19" s="69" t="n"/>
      <c r="BJ19" s="73" t="n"/>
      <c r="BK19" s="59" t="n"/>
      <c r="BL19" s="80" t="n"/>
      <c r="BM19" s="79" t="n"/>
      <c r="BN19" s="81" t="n"/>
      <c r="BQ19" s="82" t="n"/>
      <c r="BR19" s="82" t="n"/>
      <c r="BS19" s="82" t="n"/>
      <c r="BT19" s="67" t="n"/>
      <c r="BU19" s="66" t="n"/>
      <c r="BV19" s="66" t="n"/>
      <c r="BW19" s="66" t="n"/>
      <c r="BX19" s="66" t="n"/>
      <c r="BY19" s="68" t="n"/>
      <c r="BZ19" s="66" t="n"/>
      <c r="CA19" s="69" t="n"/>
      <c r="CB19" s="67" t="n"/>
      <c r="CC19" s="66" t="n"/>
      <c r="CD19" s="66" t="n"/>
      <c r="CE19" s="66" t="n"/>
      <c r="CF19" s="66" t="n"/>
      <c r="CG19" s="68" t="n"/>
      <c r="CH19" s="66" t="n"/>
      <c r="CI19" s="69" t="n"/>
      <c r="CJ19" s="67" t="n"/>
      <c r="CK19" s="66" t="n"/>
      <c r="CL19" s="66" t="n"/>
      <c r="CM19" s="66" t="n"/>
      <c r="CN19" s="66" t="n"/>
      <c r="CO19" s="68" t="n"/>
      <c r="CP19" s="66" t="n"/>
      <c r="CQ19" s="69" t="n"/>
      <c r="CR19" s="84" t="n"/>
      <c r="CS19" s="83" t="n"/>
      <c r="CU19" s="78" t="n"/>
      <c r="CV19" s="78" t="n"/>
      <c r="CW19" s="78" t="n"/>
      <c r="CX19" s="78" t="n"/>
      <c r="CY19" s="78" t="n"/>
      <c r="CZ19" s="59" t="n"/>
      <c r="DA19" s="67" t="n"/>
      <c r="DB19" s="66" t="n"/>
      <c r="DC19" s="66" t="n"/>
      <c r="DD19" s="66" t="n"/>
      <c r="DE19" s="66" t="n"/>
      <c r="DF19" s="68" t="n"/>
      <c r="DG19" s="66" t="n"/>
      <c r="DH19" s="69" t="n"/>
      <c r="DI19" s="67" t="n"/>
      <c r="DJ19" s="66" t="n"/>
      <c r="DK19" s="66" t="n"/>
      <c r="DL19" s="66" t="n"/>
      <c r="DM19" s="66" t="n"/>
      <c r="DN19" s="68" t="n"/>
      <c r="DO19" s="66" t="n"/>
      <c r="DP19" s="69" t="n"/>
    </row>
    <row r="20" ht="24.95" customHeight="1">
      <c r="A20" s="27" t="n"/>
      <c r="B20" s="64" t="n"/>
      <c r="C20" s="66" t="inlineStr">
        <is>
          <t>Cardona Guerra Diego Alonso</t>
        </is>
      </c>
      <c r="D20" s="178" t="inlineStr">
        <is>
          <t>1.040.358.283</t>
        </is>
      </c>
      <c r="E20" s="66" t="inlineStr">
        <is>
          <t>Diego</t>
        </is>
      </c>
      <c r="F20" s="66" t="inlineStr">
        <is>
          <t>Alonso</t>
        </is>
      </c>
      <c r="G20" s="66" t="inlineStr">
        <is>
          <t>Cardona</t>
        </is>
      </c>
      <c r="H20" s="66" t="inlineStr">
        <is>
          <t>Guerra</t>
        </is>
      </c>
      <c r="I20" s="179" t="inlineStr">
        <is>
          <t>20/12/1988</t>
        </is>
      </c>
      <c r="J20" s="66" t="inlineStr">
        <is>
          <t>C</t>
        </is>
      </c>
      <c r="K20" s="180" t="inlineStr">
        <is>
          <t>1.040.358.283</t>
        </is>
      </c>
      <c r="L20" s="75" t="inlineStr">
        <is>
          <t>CAREPA</t>
        </is>
      </c>
      <c r="M20" s="66" t="inlineStr">
        <is>
          <t>M</t>
        </is>
      </c>
      <c r="N20" s="75" t="inlineStr">
        <is>
          <t>02/07/2026</t>
        </is>
      </c>
      <c r="O20" s="181" t="n"/>
      <c r="P20" s="75" t="inlineStr">
        <is>
          <t>02/07/2026</t>
        </is>
      </c>
      <c r="Q20" s="71" t="inlineStr">
        <is>
          <t>001</t>
        </is>
      </c>
      <c r="R20" s="72" t="n"/>
      <c r="S20" s="72" t="n"/>
      <c r="T20" s="66" t="n"/>
      <c r="U20" s="65" t="n"/>
      <c r="V20" s="72" t="n"/>
      <c r="W20" s="72" t="n"/>
      <c r="X20" s="67" t="n"/>
      <c r="Y20" s="66" t="n"/>
      <c r="Z20" s="66" t="n"/>
      <c r="AA20" s="66" t="n"/>
      <c r="AB20" s="66" t="n"/>
      <c r="AC20" s="68" t="n"/>
      <c r="AD20" s="66" t="n"/>
      <c r="AE20" s="69" t="n"/>
      <c r="AF20" s="67" t="n"/>
      <c r="AG20" s="66" t="n"/>
      <c r="AH20" s="66" t="n"/>
      <c r="AI20" s="66" t="n"/>
      <c r="AJ20" s="66" t="n"/>
      <c r="AK20" s="68" t="n"/>
      <c r="AL20" s="66" t="n"/>
      <c r="AM20" s="69" t="n"/>
      <c r="AN20" s="75" t="n"/>
      <c r="AO20" s="76" t="n"/>
      <c r="AP20" s="67" t="n"/>
      <c r="AQ20" s="66" t="n"/>
      <c r="AR20" s="66" t="n"/>
      <c r="AS20" s="66" t="n"/>
      <c r="AT20" s="66" t="n"/>
      <c r="AU20" s="68" t="n"/>
      <c r="AV20" s="66" t="n"/>
      <c r="AW20" s="69" t="n"/>
      <c r="AY20" s="77" t="n"/>
      <c r="AZ20" s="67" t="n"/>
      <c r="BA20" s="66" t="n"/>
      <c r="BB20" s="66" t="n"/>
      <c r="BC20" s="66" t="n"/>
      <c r="BD20" s="66" t="n"/>
      <c r="BE20" s="68" t="n"/>
      <c r="BF20" s="66" t="n"/>
      <c r="BG20" s="69" t="n"/>
      <c r="BJ20" s="73" t="n"/>
      <c r="BK20" s="59" t="n"/>
      <c r="BL20" s="80" t="n"/>
      <c r="BM20" s="79" t="n"/>
      <c r="BN20" s="81" t="n"/>
      <c r="BQ20" s="82" t="n"/>
      <c r="BR20" s="82" t="n"/>
      <c r="BS20" s="82" t="n"/>
      <c r="BT20" s="67" t="n"/>
      <c r="BU20" s="66" t="n"/>
      <c r="BV20" s="66" t="n"/>
      <c r="BW20" s="66" t="n"/>
      <c r="BX20" s="66" t="n"/>
      <c r="BY20" s="68" t="n"/>
      <c r="BZ20" s="66" t="n"/>
      <c r="CA20" s="69" t="n"/>
      <c r="CB20" s="67" t="n"/>
      <c r="CC20" s="66" t="n"/>
      <c r="CD20" s="66" t="n"/>
      <c r="CE20" s="66" t="n"/>
      <c r="CF20" s="66" t="n"/>
      <c r="CG20" s="68" t="n"/>
      <c r="CH20" s="66" t="n"/>
      <c r="CI20" s="69" t="n"/>
      <c r="CJ20" s="67" t="n"/>
      <c r="CK20" s="66" t="n"/>
      <c r="CL20" s="66" t="n"/>
      <c r="CM20" s="66" t="n"/>
      <c r="CN20" s="66" t="n"/>
      <c r="CO20" s="68" t="n"/>
      <c r="CP20" s="66" t="n"/>
      <c r="CQ20" s="69" t="n"/>
      <c r="CR20" s="84" t="n"/>
      <c r="CS20" s="83" t="n"/>
      <c r="CU20" s="78" t="n"/>
      <c r="CV20" s="78" t="n"/>
      <c r="CW20" s="78" t="n"/>
      <c r="CX20" s="78" t="n"/>
      <c r="CY20" s="78" t="n"/>
      <c r="CZ20" s="59" t="n"/>
      <c r="DA20" s="67" t="n"/>
      <c r="DB20" s="66" t="n"/>
      <c r="DC20" s="66" t="n"/>
      <c r="DD20" s="66" t="n"/>
      <c r="DE20" s="66" t="n"/>
      <c r="DF20" s="68" t="n"/>
      <c r="DG20" s="66" t="n"/>
      <c r="DH20" s="69" t="n"/>
      <c r="DI20" s="67" t="n"/>
      <c r="DJ20" s="66" t="n"/>
      <c r="DK20" s="66" t="n"/>
      <c r="DL20" s="66" t="n"/>
      <c r="DM20" s="66" t="n"/>
      <c r="DN20" s="68" t="n"/>
      <c r="DO20" s="66" t="n"/>
      <c r="DP20" s="69" t="n"/>
    </row>
    <row r="21" ht="24.95" customHeight="1">
      <c r="A21" s="27" t="n"/>
      <c r="B21" s="64" t="n"/>
      <c r="C21" s="66" t="inlineStr">
        <is>
          <t>Carvajal Galeano María Elena</t>
        </is>
      </c>
      <c r="D21" s="178" t="inlineStr">
        <is>
          <t>1.017.223.596</t>
        </is>
      </c>
      <c r="E21" s="66" t="inlineStr">
        <is>
          <t>María</t>
        </is>
      </c>
      <c r="F21" s="66" t="inlineStr">
        <is>
          <t>Elena</t>
        </is>
      </c>
      <c r="G21" s="66" t="inlineStr">
        <is>
          <t>Carvajal</t>
        </is>
      </c>
      <c r="H21" s="66" t="inlineStr">
        <is>
          <t>Galeano</t>
        </is>
      </c>
      <c r="I21" s="179" t="inlineStr">
        <is>
          <t>25/09/1994</t>
        </is>
      </c>
      <c r="J21" s="66" t="inlineStr">
        <is>
          <t>C</t>
        </is>
      </c>
      <c r="K21" s="180" t="inlineStr">
        <is>
          <t>1.017.223.596</t>
        </is>
      </c>
      <c r="L21" s="75" t="inlineStr">
        <is>
          <t>MEDELLIN</t>
        </is>
      </c>
      <c r="M21" s="66" t="inlineStr">
        <is>
          <t>F</t>
        </is>
      </c>
      <c r="N21" s="75" t="inlineStr">
        <is>
          <t>02/07/2026</t>
        </is>
      </c>
      <c r="O21" s="181" t="n"/>
      <c r="P21" s="75" t="inlineStr">
        <is>
          <t>02/07/2026</t>
        </is>
      </c>
      <c r="Q21" s="71" t="inlineStr">
        <is>
          <t>001</t>
        </is>
      </c>
      <c r="R21" s="72" t="n"/>
      <c r="S21" s="72" t="n"/>
      <c r="T21" s="66" t="n"/>
      <c r="U21" s="65" t="n"/>
      <c r="V21" s="72" t="n"/>
      <c r="W21" s="72" t="n"/>
      <c r="X21" s="67" t="n"/>
      <c r="Y21" s="66" t="n"/>
      <c r="Z21" s="66" t="n"/>
      <c r="AA21" s="66" t="n"/>
      <c r="AB21" s="66" t="n"/>
      <c r="AC21" s="68" t="n"/>
      <c r="AD21" s="66" t="n"/>
      <c r="AE21" s="69" t="n"/>
      <c r="AF21" s="67" t="n"/>
      <c r="AG21" s="66" t="n"/>
      <c r="AH21" s="66" t="n"/>
      <c r="AI21" s="66" t="n"/>
      <c r="AJ21" s="66" t="n"/>
      <c r="AK21" s="68" t="n"/>
      <c r="AL21" s="66" t="n"/>
      <c r="AM21" s="69" t="n"/>
      <c r="AN21" s="75" t="n"/>
      <c r="AO21" s="76" t="n"/>
      <c r="AP21" s="67" t="n"/>
      <c r="AQ21" s="66" t="n"/>
      <c r="AR21" s="66" t="n"/>
      <c r="AS21" s="66" t="n"/>
      <c r="AT21" s="66" t="n"/>
      <c r="AU21" s="68" t="n"/>
      <c r="AV21" s="66" t="n"/>
      <c r="AW21" s="69" t="n"/>
      <c r="AY21" s="77" t="n"/>
      <c r="AZ21" s="67" t="n"/>
      <c r="BA21" s="66" t="n"/>
      <c r="BB21" s="66" t="n"/>
      <c r="BC21" s="66" t="n"/>
      <c r="BD21" s="66" t="n"/>
      <c r="BE21" s="68" t="n"/>
      <c r="BF21" s="66" t="n"/>
      <c r="BG21" s="69" t="n"/>
      <c r="BJ21" s="73" t="n"/>
      <c r="BK21" s="59" t="n"/>
      <c r="BL21" s="80" t="n"/>
      <c r="BM21" s="79" t="n"/>
      <c r="BN21" s="81" t="n"/>
      <c r="BQ21" s="82" t="n"/>
      <c r="BR21" s="82" t="n"/>
      <c r="BS21" s="82" t="n"/>
      <c r="BT21" s="67" t="n"/>
      <c r="BU21" s="66" t="n"/>
      <c r="BV21" s="66" t="n"/>
      <c r="BW21" s="66" t="n"/>
      <c r="BX21" s="66" t="n"/>
      <c r="BY21" s="68" t="n"/>
      <c r="BZ21" s="66" t="n"/>
      <c r="CA21" s="69" t="n"/>
      <c r="CB21" s="67" t="n"/>
      <c r="CC21" s="66" t="n"/>
      <c r="CD21" s="66" t="n"/>
      <c r="CE21" s="66" t="n"/>
      <c r="CF21" s="66" t="n"/>
      <c r="CG21" s="68" t="n"/>
      <c r="CH21" s="66" t="n"/>
      <c r="CI21" s="69" t="n"/>
      <c r="CJ21" s="67" t="n"/>
      <c r="CK21" s="66" t="n"/>
      <c r="CL21" s="66" t="n"/>
      <c r="CM21" s="66" t="n"/>
      <c r="CN21" s="66" t="n"/>
      <c r="CO21" s="68" t="n"/>
      <c r="CP21" s="66" t="n"/>
      <c r="CQ21" s="69" t="n"/>
      <c r="CR21" s="84" t="n"/>
      <c r="CS21" s="83" t="n"/>
      <c r="CU21" s="78" t="n"/>
      <c r="CV21" s="78" t="n"/>
      <c r="CW21" s="78" t="n"/>
      <c r="CX21" s="78" t="n"/>
      <c r="CY21" s="78" t="n"/>
      <c r="CZ21" s="59" t="n"/>
      <c r="DA21" s="67" t="n"/>
      <c r="DB21" s="66" t="n"/>
      <c r="DC21" s="66" t="n"/>
      <c r="DD21" s="66" t="n"/>
      <c r="DE21" s="66" t="n"/>
      <c r="DF21" s="68" t="n"/>
      <c r="DG21" s="66" t="n"/>
      <c r="DH21" s="69" t="n"/>
      <c r="DI21" s="67" t="n"/>
      <c r="DJ21" s="66" t="n"/>
      <c r="DK21" s="66" t="n"/>
      <c r="DL21" s="66" t="n"/>
      <c r="DM21" s="66" t="n"/>
      <c r="DN21" s="68" t="n"/>
      <c r="DO21" s="66" t="n"/>
      <c r="DP21" s="69" t="n"/>
    </row>
    <row r="22" ht="24.95" customHeight="1">
      <c r="A22" s="27" t="n"/>
      <c r="B22" s="64" t="n"/>
      <c r="C22" s="66" t="inlineStr">
        <is>
          <t>Herrera Melendez Maria De Los Ángeles</t>
        </is>
      </c>
      <c r="D22" s="178" t="inlineStr">
        <is>
          <t>5.970.491</t>
        </is>
      </c>
      <c r="E22" s="66" t="inlineStr">
        <is>
          <t>Maria</t>
        </is>
      </c>
      <c r="F22" s="66" t="inlineStr">
        <is>
          <t>De Los Ángeles</t>
        </is>
      </c>
      <c r="G22" s="66" t="inlineStr">
        <is>
          <t>Herrera</t>
        </is>
      </c>
      <c r="H22" s="66" t="inlineStr">
        <is>
          <t>Melendez</t>
        </is>
      </c>
      <c r="I22" s="179" t="inlineStr">
        <is>
          <t>28/04/1999</t>
        </is>
      </c>
      <c r="J22" s="66" t="inlineStr">
        <is>
          <t>U</t>
        </is>
      </c>
      <c r="K22" s="180" t="inlineStr">
        <is>
          <t>5.970.491</t>
        </is>
      </c>
      <c r="L22" s="75" t="inlineStr">
        <is>
          <t>BOGOTA</t>
        </is>
      </c>
      <c r="M22" s="66" t="inlineStr">
        <is>
          <t>F</t>
        </is>
      </c>
      <c r="N22" s="75" t="inlineStr">
        <is>
          <t>02/07/2026</t>
        </is>
      </c>
      <c r="O22" s="181" t="n"/>
      <c r="P22" s="75" t="inlineStr">
        <is>
          <t>02/07/2026</t>
        </is>
      </c>
      <c r="Q22" s="71" t="inlineStr">
        <is>
          <t>001</t>
        </is>
      </c>
      <c r="R22" s="72" t="n"/>
      <c r="S22" s="72" t="n"/>
      <c r="T22" s="66" t="n"/>
      <c r="V22" s="72" t="n"/>
      <c r="W22" s="72" t="n"/>
      <c r="X22" s="67" t="n"/>
      <c r="Y22" s="66" t="n"/>
      <c r="Z22" s="66" t="n"/>
      <c r="AA22" s="66" t="n"/>
      <c r="AB22" s="66" t="n"/>
      <c r="AC22" s="68" t="n"/>
      <c r="AD22" s="66" t="n"/>
      <c r="AE22" s="69" t="n"/>
      <c r="AF22" s="67" t="n"/>
      <c r="AG22" s="66" t="n"/>
      <c r="AH22" s="66" t="n"/>
      <c r="AI22" s="66" t="n"/>
      <c r="AJ22" s="66" t="n"/>
      <c r="AK22" s="68" t="n"/>
      <c r="AL22" s="66" t="n"/>
      <c r="AM22" s="69" t="n"/>
      <c r="AN22" s="75" t="n"/>
      <c r="AO22" s="76" t="n"/>
      <c r="AP22" s="67" t="n"/>
      <c r="AQ22" s="66" t="n"/>
      <c r="AR22" s="66" t="n"/>
      <c r="AS22" s="66" t="n"/>
      <c r="AT22" s="66" t="n"/>
      <c r="AU22" s="68" t="n"/>
      <c r="AV22" s="66" t="n"/>
      <c r="AW22" s="69" t="n"/>
      <c r="AY22" s="77" t="n"/>
      <c r="AZ22" s="67" t="n"/>
      <c r="BA22" s="66" t="n"/>
      <c r="BB22" s="66" t="n"/>
      <c r="BC22" s="66" t="n"/>
      <c r="BD22" s="66" t="n"/>
      <c r="BE22" s="68" t="n"/>
      <c r="BF22" s="66" t="n"/>
      <c r="BG22" s="69" t="n"/>
      <c r="BJ22" s="73" t="n"/>
      <c r="BK22" s="59" t="n"/>
      <c r="BL22" s="80" t="n"/>
      <c r="BM22" s="79" t="n"/>
      <c r="BN22" s="81" t="n"/>
      <c r="BQ22" s="82" t="n"/>
      <c r="BR22" s="82" t="n"/>
      <c r="BS22" s="82" t="n"/>
      <c r="BT22" s="67" t="n"/>
      <c r="BU22" s="66" t="n"/>
      <c r="BV22" s="66" t="n"/>
      <c r="BW22" s="66" t="n"/>
      <c r="BX22" s="66" t="n"/>
      <c r="BY22" s="68" t="n"/>
      <c r="BZ22" s="66" t="n"/>
      <c r="CA22" s="69" t="n"/>
      <c r="CB22" s="67" t="n"/>
      <c r="CC22" s="66" t="n"/>
      <c r="CD22" s="66" t="n"/>
      <c r="CE22" s="66" t="n"/>
      <c r="CF22" s="66" t="n"/>
      <c r="CG22" s="68" t="n"/>
      <c r="CH22" s="66" t="n"/>
      <c r="CI22" s="69" t="n"/>
      <c r="CJ22" s="67" t="n"/>
      <c r="CK22" s="66" t="n"/>
      <c r="CL22" s="66" t="n"/>
      <c r="CM22" s="66" t="n"/>
      <c r="CN22" s="66" t="n"/>
      <c r="CO22" s="68" t="n"/>
      <c r="CP22" s="66" t="n"/>
      <c r="CQ22" s="69" t="n"/>
      <c r="CR22" s="84" t="n"/>
      <c r="CS22" s="83" t="n"/>
      <c r="CU22" s="78" t="n"/>
      <c r="CV22" s="78" t="n"/>
      <c r="CW22" s="78" t="n"/>
      <c r="CX22" s="78" t="n"/>
      <c r="CY22" s="78" t="n"/>
      <c r="CZ22" s="59" t="n"/>
      <c r="DA22" s="67" t="n"/>
      <c r="DB22" s="66" t="n"/>
      <c r="DC22" s="66" t="n"/>
      <c r="DD22" s="66" t="n"/>
      <c r="DE22" s="66" t="n"/>
      <c r="DF22" s="68" t="n"/>
      <c r="DG22" s="66" t="n"/>
      <c r="DH22" s="69" t="n"/>
      <c r="DI22" s="67" t="n"/>
      <c r="DJ22" s="66" t="n"/>
      <c r="DK22" s="66" t="n"/>
      <c r="DL22" s="66" t="n"/>
      <c r="DM22" s="66" t="n"/>
      <c r="DN22" s="68" t="n"/>
      <c r="DO22" s="66" t="n"/>
      <c r="DP22" s="69" t="n"/>
    </row>
    <row r="23" ht="24.95" customHeight="1">
      <c r="A23" s="27" t="n"/>
      <c r="B23" s="64" t="n"/>
      <c r="C23" s="66" t="inlineStr">
        <is>
          <t>Miranda Contreras Derly Cristina</t>
        </is>
      </c>
      <c r="D23" s="178" t="inlineStr">
        <is>
          <t>1.004.967.684</t>
        </is>
      </c>
      <c r="E23" s="66" t="inlineStr">
        <is>
          <t>Derly</t>
        </is>
      </c>
      <c r="F23" s="66" t="inlineStr">
        <is>
          <t>Cristina</t>
        </is>
      </c>
      <c r="G23" s="66" t="inlineStr">
        <is>
          <t>Miranda</t>
        </is>
      </c>
      <c r="H23" s="66" t="inlineStr">
        <is>
          <t>Contreras</t>
        </is>
      </c>
      <c r="I23" s="179" t="inlineStr">
        <is>
          <t>05/05/2000</t>
        </is>
      </c>
      <c r="J23" s="66" t="inlineStr">
        <is>
          <t>C</t>
        </is>
      </c>
      <c r="K23" s="180" t="inlineStr">
        <is>
          <t>1.004.967.684</t>
        </is>
      </c>
      <c r="L23" s="75" t="inlineStr">
        <is>
          <t>EL PEÑOL</t>
        </is>
      </c>
      <c r="M23" s="66" t="inlineStr">
        <is>
          <t>F</t>
        </is>
      </c>
      <c r="N23" s="75" t="inlineStr">
        <is>
          <t>02/07/2026</t>
        </is>
      </c>
      <c r="O23" s="181" t="n"/>
      <c r="P23" s="75" t="inlineStr">
        <is>
          <t>02/07/2026</t>
        </is>
      </c>
      <c r="Q23" s="71" t="inlineStr">
        <is>
          <t>001</t>
        </is>
      </c>
      <c r="R23" s="72" t="n"/>
      <c r="S23" s="72" t="n"/>
      <c r="T23" s="66" t="n"/>
      <c r="V23" s="72" t="n"/>
      <c r="W23" s="72" t="n"/>
      <c r="X23" s="67" t="n"/>
      <c r="Y23" s="66" t="n"/>
      <c r="Z23" s="66" t="n"/>
      <c r="AA23" s="66" t="n"/>
      <c r="AB23" s="66" t="n"/>
      <c r="AC23" s="68" t="n"/>
      <c r="AD23" s="66" t="n"/>
      <c r="AE23" s="69" t="n"/>
      <c r="AF23" s="67" t="n"/>
      <c r="AG23" s="66" t="n"/>
      <c r="AH23" s="66" t="n"/>
      <c r="AI23" s="66" t="n"/>
      <c r="AJ23" s="66" t="n"/>
      <c r="AK23" s="68" t="n"/>
      <c r="AL23" s="66" t="n"/>
      <c r="AM23" s="69" t="n"/>
      <c r="AN23" s="75" t="n"/>
      <c r="AO23" s="76" t="n"/>
      <c r="AP23" s="67" t="n"/>
      <c r="AQ23" s="66" t="n"/>
      <c r="AR23" s="66" t="n"/>
      <c r="AS23" s="66" t="n"/>
      <c r="AT23" s="66" t="n"/>
      <c r="AU23" s="68" t="n"/>
      <c r="AV23" s="66" t="n"/>
      <c r="AW23" s="69" t="n"/>
      <c r="AY23" s="77" t="n"/>
      <c r="AZ23" s="67" t="n"/>
      <c r="BA23" s="66" t="n"/>
      <c r="BB23" s="66" t="n"/>
      <c r="BC23" s="66" t="n"/>
      <c r="BD23" s="66" t="n"/>
      <c r="BE23" s="68" t="n"/>
      <c r="BF23" s="66" t="n"/>
      <c r="BG23" s="69" t="n"/>
      <c r="BJ23" s="73" t="n"/>
      <c r="BK23" s="59" t="n"/>
      <c r="BL23" s="80" t="n"/>
      <c r="BM23" s="79" t="n"/>
      <c r="BN23" s="81" t="n"/>
      <c r="BQ23" s="82" t="n"/>
      <c r="BR23" s="82" t="n"/>
      <c r="BS23" s="82" t="n"/>
      <c r="BT23" s="67" t="n"/>
      <c r="BU23" s="66" t="n"/>
      <c r="BV23" s="66" t="n"/>
      <c r="BW23" s="66" t="n"/>
      <c r="BX23" s="66" t="n"/>
      <c r="BY23" s="68" t="n"/>
      <c r="BZ23" s="66" t="n"/>
      <c r="CA23" s="69" t="n"/>
      <c r="CB23" s="67" t="n"/>
      <c r="CC23" s="66" t="n"/>
      <c r="CD23" s="66" t="n"/>
      <c r="CE23" s="66" t="n"/>
      <c r="CF23" s="66" t="n"/>
      <c r="CG23" s="68" t="n"/>
      <c r="CH23" s="66" t="n"/>
      <c r="CI23" s="69" t="n"/>
      <c r="CJ23" s="67" t="n"/>
      <c r="CK23" s="66" t="n"/>
      <c r="CL23" s="66" t="n"/>
      <c r="CM23" s="66" t="n"/>
      <c r="CN23" s="66" t="n"/>
      <c r="CO23" s="68" t="n"/>
      <c r="CP23" s="66" t="n"/>
      <c r="CQ23" s="69" t="n"/>
      <c r="CR23" s="84" t="n"/>
      <c r="CS23" s="83" t="n"/>
      <c r="CU23" s="78" t="n"/>
      <c r="CV23" s="78" t="n"/>
      <c r="CW23" s="78" t="n"/>
      <c r="CX23" s="78" t="n"/>
      <c r="CY23" s="78" t="n"/>
      <c r="CZ23" s="59" t="n"/>
      <c r="DA23" s="67" t="n"/>
      <c r="DB23" s="66" t="n"/>
      <c r="DC23" s="66" t="n"/>
      <c r="DD23" s="66" t="n"/>
      <c r="DE23" s="66" t="n"/>
      <c r="DF23" s="68" t="n"/>
      <c r="DG23" s="66" t="n"/>
      <c r="DH23" s="69" t="n"/>
      <c r="DI23" s="67" t="n"/>
      <c r="DJ23" s="66" t="n"/>
      <c r="DK23" s="66" t="n"/>
      <c r="DL23" s="66" t="n"/>
      <c r="DM23" s="66" t="n"/>
      <c r="DN23" s="68" t="n"/>
      <c r="DO23" s="66" t="n"/>
      <c r="DP23" s="69" t="n"/>
    </row>
    <row r="24" ht="24.95" customHeight="1">
      <c r="A24" s="27" t="n"/>
      <c r="B24" s="64" t="n"/>
      <c r="C24" s="66" t="inlineStr">
        <is>
          <t>Landino Beleño Melvis Genoveva</t>
        </is>
      </c>
      <c r="D24" s="178" t="inlineStr">
        <is>
          <t>1.241.591.485</t>
        </is>
      </c>
      <c r="E24" s="66" t="inlineStr">
        <is>
          <t>Melvis</t>
        </is>
      </c>
      <c r="F24" s="66" t="inlineStr">
        <is>
          <t>Genoveva</t>
        </is>
      </c>
      <c r="G24" s="66" t="inlineStr">
        <is>
          <t>Landino</t>
        </is>
      </c>
      <c r="H24" s="66" t="inlineStr">
        <is>
          <t>Beleño</t>
        </is>
      </c>
      <c r="I24" s="179" t="inlineStr">
        <is>
          <t>08/03/1987</t>
        </is>
      </c>
      <c r="J24" s="66" t="inlineStr">
        <is>
          <t>C</t>
        </is>
      </c>
      <c r="K24" s="180" t="inlineStr">
        <is>
          <t>1.241.591.485</t>
        </is>
      </c>
      <c r="L24" s="75" t="inlineStr">
        <is>
          <t>BARRANCABERMEJA</t>
        </is>
      </c>
      <c r="M24" s="66" t="inlineStr">
        <is>
          <t>F</t>
        </is>
      </c>
      <c r="N24" s="75" t="inlineStr">
        <is>
          <t>02/07/2026</t>
        </is>
      </c>
      <c r="O24" s="181" t="n"/>
      <c r="P24" s="75" t="inlineStr">
        <is>
          <t>02/07/2026</t>
        </is>
      </c>
      <c r="Q24" s="71" t="inlineStr">
        <is>
          <t>001</t>
        </is>
      </c>
      <c r="R24" s="72" t="n"/>
      <c r="S24" s="72" t="n"/>
      <c r="T24" s="66" t="n"/>
      <c r="V24" s="72" t="n"/>
      <c r="W24" s="72" t="n"/>
      <c r="X24" s="67" t="n"/>
      <c r="Y24" s="66" t="n"/>
      <c r="Z24" s="66" t="n"/>
      <c r="AA24" s="66" t="n"/>
      <c r="AB24" s="66" t="n"/>
      <c r="AC24" s="68" t="n"/>
      <c r="AD24" s="66" t="n"/>
      <c r="AE24" s="69" t="n"/>
      <c r="AF24" s="67" t="n"/>
      <c r="AG24" s="66" t="n"/>
      <c r="AH24" s="66" t="n"/>
      <c r="AI24" s="66" t="n"/>
      <c r="AJ24" s="66" t="n"/>
      <c r="AK24" s="68" t="n"/>
      <c r="AL24" s="66" t="n"/>
      <c r="AM24" s="69" t="n"/>
      <c r="AN24" s="75" t="n"/>
      <c r="AO24" s="76" t="n"/>
      <c r="AP24" s="67" t="n"/>
      <c r="AQ24" s="66" t="n"/>
      <c r="AR24" s="66" t="n"/>
      <c r="AS24" s="66" t="n"/>
      <c r="AT24" s="66" t="n"/>
      <c r="AU24" s="68" t="n"/>
      <c r="AV24" s="66" t="n"/>
      <c r="AW24" s="69" t="n"/>
      <c r="AY24" s="77" t="n"/>
      <c r="AZ24" s="67" t="n"/>
      <c r="BA24" s="66" t="n"/>
      <c r="BB24" s="66" t="n"/>
      <c r="BC24" s="66" t="n"/>
      <c r="BD24" s="66" t="n"/>
      <c r="BE24" s="68" t="n"/>
      <c r="BF24" s="66" t="n"/>
      <c r="BG24" s="69" t="n"/>
      <c r="BJ24" s="73" t="n"/>
      <c r="BK24" s="59" t="n"/>
      <c r="BL24" s="80" t="n"/>
      <c r="BM24" s="79" t="n"/>
      <c r="BN24" s="81" t="n"/>
      <c r="BQ24" s="82" t="n"/>
      <c r="BR24" s="82" t="n"/>
      <c r="BS24" s="82" t="n"/>
      <c r="BT24" s="67" t="n"/>
      <c r="BU24" s="66" t="n"/>
      <c r="BV24" s="66" t="n"/>
      <c r="BW24" s="66" t="n"/>
      <c r="BX24" s="66" t="n"/>
      <c r="BY24" s="68" t="n"/>
      <c r="BZ24" s="66" t="n"/>
      <c r="CA24" s="69" t="n"/>
      <c r="CB24" s="67" t="n"/>
      <c r="CC24" s="66" t="n"/>
      <c r="CD24" s="66" t="n"/>
      <c r="CE24" s="66" t="n"/>
      <c r="CF24" s="66" t="n"/>
      <c r="CG24" s="68" t="n"/>
      <c r="CH24" s="66" t="n"/>
      <c r="CI24" s="69" t="n"/>
      <c r="CJ24" s="67" t="n"/>
      <c r="CK24" s="66" t="n"/>
      <c r="CL24" s="66" t="n"/>
      <c r="CM24" s="66" t="n"/>
      <c r="CN24" s="66" t="n"/>
      <c r="CO24" s="68" t="n"/>
      <c r="CP24" s="66" t="n"/>
      <c r="CQ24" s="69" t="n"/>
      <c r="CR24" s="84" t="n"/>
      <c r="CS24" s="83" t="n"/>
      <c r="CU24" s="78" t="n"/>
      <c r="CV24" s="78" t="n"/>
      <c r="CW24" s="78" t="n"/>
      <c r="CX24" s="78" t="n"/>
      <c r="CY24" s="78" t="n"/>
      <c r="CZ24" s="59" t="n"/>
      <c r="DA24" s="67" t="n"/>
      <c r="DB24" s="66" t="n"/>
      <c r="DC24" s="66" t="n"/>
      <c r="DD24" s="66" t="n"/>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2" t="n"/>
      <c r="C1" s="182" t="n"/>
      <c r="D1" s="182" t="n"/>
      <c r="E1" s="182" t="n"/>
      <c r="F1" s="182" t="n"/>
      <c r="G1" s="182" t="n"/>
      <c r="H1" s="182"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68" t="n"/>
      <c r="B5" s="167" t="n"/>
      <c r="C5" s="162" t="n"/>
      <c r="D5" s="162" t="n"/>
      <c r="E5" s="166" t="n"/>
      <c r="F5" s="165" t="n"/>
      <c r="G5" s="164" t="n"/>
      <c r="H5" s="161" t="n"/>
    </row>
    <row r="6">
      <c r="A6" s="163" t="n"/>
      <c r="B6" s="162">
        <f>IFERROR(VLOOKUP(A6,'[1]MAESTRO ACTIVOS'!$A$3:$A$1048576,1,0)," ")</f>
        <v/>
      </c>
      <c r="C6" s="162">
        <f>IFERROR(VLOOKUP(A6,'[1]MAESTRO ACTIVOS'!$A$2:$CX$1048576,100,0),"")</f>
        <v/>
      </c>
      <c r="D6" s="162" t="n"/>
      <c r="E6" s="162" t="n"/>
      <c r="F6" s="162" t="n"/>
      <c r="G6" s="164" t="n"/>
      <c r="H6" s="161" t="n"/>
    </row>
    <row r="7">
      <c r="A7" s="163" t="n"/>
      <c r="B7" s="162">
        <f>IFERROR(VLOOKUP(A7,'[1]MAESTRO ACTIVOS'!$A$3:$A$1048576,1,0)," ")</f>
        <v/>
      </c>
      <c r="C7" s="162">
        <f>IFERROR(VLOOKUP(A7,'[1]MAESTRO ACTIVOS'!$A$2:$CX$1048576,100,0),"")</f>
        <v/>
      </c>
      <c r="D7" s="162" t="n"/>
      <c r="E7" s="162" t="n"/>
      <c r="F7" s="162" t="n"/>
      <c r="G7" s="162" t="n"/>
      <c r="H7" s="161" t="n"/>
    </row>
    <row r="8">
      <c r="A8" s="163" t="n"/>
      <c r="B8" s="162">
        <f>IFERROR(VLOOKUP(A8,'[1]MAESTRO ACTIVOS'!$A$3:$A$1048576,1,0)," ")</f>
        <v/>
      </c>
      <c r="C8" s="162">
        <f>IFERROR(VLOOKUP(A8,'[1]MAESTRO ACTIVOS'!$A$2:$CX$1048576,100,0),"")</f>
        <v/>
      </c>
      <c r="D8" s="162" t="n"/>
      <c r="E8" s="162" t="n"/>
      <c r="F8" s="162" t="n"/>
      <c r="G8" s="162" t="n"/>
      <c r="H8" s="161" t="n"/>
    </row>
    <row r="9">
      <c r="A9" s="163" t="n"/>
      <c r="B9" s="162">
        <f>IFERROR(VLOOKUP(A9,'[1]MAESTRO ACTIVOS'!$A$3:$A$1048576,1,0)," ")</f>
        <v/>
      </c>
      <c r="C9" s="162">
        <f>IFERROR(VLOOKUP(A9,'[1]MAESTRO ACTIVOS'!$A$2:$CX$1048576,100,0),"")</f>
        <v/>
      </c>
      <c r="D9" s="162" t="n"/>
      <c r="E9" s="162" t="n"/>
      <c r="F9" s="162" t="n"/>
      <c r="G9" s="162" t="n"/>
      <c r="H9" s="161" t="n"/>
    </row>
    <row r="10">
      <c r="A10" s="163" t="n"/>
      <c r="B10" s="162">
        <f>IFERROR(VLOOKUP(A10,'[1]MAESTRO ACTIVOS'!$A$3:$A$1048576,1,0)," ")</f>
        <v/>
      </c>
      <c r="C10" s="162">
        <f>IFERROR(VLOOKUP(A10,'[1]MAESTRO ACTIVOS'!$A$2:$CX$1048576,100,0),"")</f>
        <v/>
      </c>
      <c r="D10" s="162" t="n"/>
      <c r="E10" s="162" t="n"/>
      <c r="F10" s="162" t="n"/>
      <c r="G10" s="162" t="n"/>
      <c r="H10" s="161" t="n"/>
    </row>
    <row r="11">
      <c r="A11" s="163" t="n"/>
      <c r="B11" s="162">
        <f>IFERROR(VLOOKUP(A11,'[1]MAESTRO ACTIVOS'!$A$3:$A$1048576,1,0)," ")</f>
        <v/>
      </c>
      <c r="C11" s="162">
        <f>IFERROR(VLOOKUP(A11,'[1]MAESTRO ACTIVOS'!$A$2:$CX$1048576,100,0),"")</f>
        <v/>
      </c>
      <c r="D11" s="162" t="n"/>
      <c r="E11" s="162" t="n"/>
      <c r="F11" s="162" t="n"/>
      <c r="G11" s="162" t="n"/>
      <c r="H11" s="161" t="n"/>
    </row>
    <row r="12">
      <c r="A12" s="163" t="n"/>
      <c r="B12" s="162">
        <f>IFERROR(VLOOKUP(A12,'[1]MAESTRO ACTIVOS'!$A$3:$A$1048576,1,0)," ")</f>
        <v/>
      </c>
      <c r="C12" s="162">
        <f>IFERROR(VLOOKUP(A12,'[1]MAESTRO ACTIVOS'!$A$2:$CX$1048576,100,0),"")</f>
        <v/>
      </c>
      <c r="D12" s="162" t="n"/>
      <c r="E12" s="162" t="n"/>
      <c r="F12" s="162" t="n"/>
      <c r="G12" s="162" t="n"/>
      <c r="H12" s="161" t="n"/>
    </row>
    <row r="13">
      <c r="A13" s="163" t="n"/>
      <c r="B13" s="162">
        <f>IFERROR(VLOOKUP(A13,'[1]MAESTRO ACTIVOS'!$A$3:$A$1048576,1,0)," ")</f>
        <v/>
      </c>
      <c r="C13" s="162">
        <f>IFERROR(VLOOKUP(A13,'[1]MAESTRO ACTIVOS'!$A$2:$CX$1048576,100,0),"")</f>
        <v/>
      </c>
      <c r="D13" s="162" t="n"/>
      <c r="E13" s="162" t="n"/>
      <c r="F13" s="162" t="n"/>
      <c r="G13" s="162" t="n"/>
      <c r="H13" s="161" t="n"/>
    </row>
    <row r="14">
      <c r="A14" s="163" t="n"/>
      <c r="B14" s="162">
        <f>IFERROR(VLOOKUP(A14,'[1]MAESTRO ACTIVOS'!$A$3:$A$1048576,1,0)," ")</f>
        <v/>
      </c>
      <c r="C14" s="162">
        <f>IFERROR(VLOOKUP(A14,'[1]MAESTRO ACTIVOS'!$A$2:$CX$1048576,100,0),"")</f>
        <v/>
      </c>
      <c r="D14" s="162" t="n"/>
      <c r="E14" s="162" t="n"/>
      <c r="F14" s="162" t="n"/>
      <c r="G14" s="162" t="n"/>
      <c r="H14" s="161" t="n"/>
    </row>
    <row r="15">
      <c r="A15" s="163" t="n"/>
      <c r="B15" s="162">
        <f>IFERROR(VLOOKUP(A15,'[1]MAESTRO ACTIVOS'!$A$3:$A$1048576,1,0)," ")</f>
        <v/>
      </c>
      <c r="C15" s="162">
        <f>IFERROR(VLOOKUP(A15,'[1]MAESTRO ACTIVOS'!$A$2:$CX$1048576,100,0),"")</f>
        <v/>
      </c>
      <c r="D15" s="162" t="n"/>
      <c r="E15" s="162" t="n"/>
      <c r="F15" s="162" t="n"/>
      <c r="G15" s="162" t="n"/>
      <c r="H15" s="161" t="n"/>
    </row>
    <row r="16">
      <c r="A16" s="163" t="n"/>
      <c r="B16" s="162">
        <f>IFERROR(VLOOKUP(A16,'[1]MAESTRO ACTIVOS'!$A$3:$A$1048576,1,0)," ")</f>
        <v/>
      </c>
      <c r="C16" s="162">
        <f>IFERROR(VLOOKUP(A16,'[1]MAESTRO ACTIVOS'!$A$2:$CX$1048576,100,0),"")</f>
        <v/>
      </c>
      <c r="D16" s="162" t="n"/>
      <c r="E16" s="162" t="n"/>
      <c r="F16" s="162" t="n"/>
      <c r="G16" s="162" t="n"/>
      <c r="H16" s="161" t="n"/>
    </row>
    <row r="17">
      <c r="A17" s="163" t="n"/>
      <c r="B17" s="162">
        <f>IFERROR(VLOOKUP(A17,'[1]MAESTRO ACTIVOS'!$A$3:$A$1048576,1,0)," ")</f>
        <v/>
      </c>
      <c r="C17" s="162">
        <f>IFERROR(VLOOKUP(A17,'[1]MAESTRO ACTIVOS'!$A$2:$CX$1048576,100,0),"")</f>
        <v/>
      </c>
      <c r="D17" s="162" t="n"/>
      <c r="E17" s="162" t="n"/>
      <c r="F17" s="162" t="n"/>
      <c r="G17" s="162" t="n"/>
      <c r="H17" s="161" t="n"/>
    </row>
    <row r="18">
      <c r="A18" s="163" t="n"/>
      <c r="B18" s="162">
        <f>IFERROR(VLOOKUP(A18,'[1]MAESTRO ACTIVOS'!$A$3:$A$1048576,1,0)," ")</f>
        <v/>
      </c>
      <c r="C18" s="162">
        <f>IFERROR(VLOOKUP(A18,'[1]MAESTRO ACTIVOS'!$A$2:$CX$1048576,100,0),"")</f>
        <v/>
      </c>
      <c r="D18" s="162" t="n"/>
      <c r="E18" s="162" t="n"/>
      <c r="F18" s="162" t="n"/>
      <c r="G18" s="162" t="n"/>
      <c r="H18" s="161" t="n"/>
    </row>
    <row r="19">
      <c r="A19" s="163" t="n"/>
      <c r="B19" s="162">
        <f>IFERROR(VLOOKUP(A19,'[1]MAESTRO ACTIVOS'!$A$3:$A$1048576,1,0)," ")</f>
        <v/>
      </c>
      <c r="C19" s="162">
        <f>IFERROR(VLOOKUP(A19,'[1]MAESTRO ACTIVOS'!$A$2:$CX$1048576,100,0),"")</f>
        <v/>
      </c>
      <c r="D19" s="162" t="n"/>
      <c r="E19" s="162" t="n"/>
      <c r="F19" s="162" t="n"/>
      <c r="G19" s="162" t="n"/>
      <c r="H19" s="161" t="n"/>
    </row>
    <row r="20">
      <c r="A20" s="163" t="n"/>
      <c r="B20" s="162">
        <f>IFERROR(VLOOKUP(A20,'[1]MAESTRO ACTIVOS'!$A$3:$A$1048576,1,0)," ")</f>
        <v/>
      </c>
      <c r="C20" s="162">
        <f>IFERROR(VLOOKUP(A20,'[1]MAESTRO ACTIVOS'!$A$2:$CX$1048576,100,0),"")</f>
        <v/>
      </c>
      <c r="D20" s="162" t="n"/>
      <c r="E20" s="162" t="n"/>
      <c r="F20" s="162" t="n"/>
      <c r="G20" s="162" t="n"/>
      <c r="H20" s="161" t="n"/>
    </row>
    <row r="21">
      <c r="A21" s="163" t="n"/>
      <c r="B21" s="162">
        <f>IFERROR(VLOOKUP(A21,'[1]MAESTRO ACTIVOS'!$A$3:$A$1048576,1,0)," ")</f>
        <v/>
      </c>
      <c r="C21" s="162">
        <f>IFERROR(VLOOKUP(A21,'[1]MAESTRO ACTIVOS'!$A$2:$CX$1048576,100,0),"")</f>
        <v/>
      </c>
      <c r="D21" s="162" t="n"/>
      <c r="E21" s="162" t="n"/>
      <c r="F21" s="162" t="n"/>
      <c r="G21" s="162" t="n"/>
      <c r="H21" s="161" t="n"/>
    </row>
    <row r="22">
      <c r="A22" s="163" t="n"/>
      <c r="B22" s="162">
        <f>IFERROR(VLOOKUP(A22,'[1]MAESTRO ACTIVOS'!$A$3:$A$1048576,1,0)," ")</f>
        <v/>
      </c>
      <c r="C22" s="162">
        <f>IFERROR(VLOOKUP(A22,'[1]MAESTRO ACTIVOS'!$A$2:$CX$1048576,100,0),"")</f>
        <v/>
      </c>
      <c r="D22" s="162" t="n"/>
      <c r="E22" s="162" t="n"/>
      <c r="F22" s="162" t="n"/>
      <c r="G22" s="162" t="n"/>
      <c r="H22" s="161" t="n"/>
    </row>
    <row r="23">
      <c r="A23" s="163" t="n"/>
      <c r="B23" s="162">
        <f>IFERROR(VLOOKUP(A23,'[1]MAESTRO ACTIVOS'!$A$3:$A$1048576,1,0)," ")</f>
        <v/>
      </c>
      <c r="C23" s="162">
        <f>IFERROR(VLOOKUP(A23,'[1]MAESTRO ACTIVOS'!$A$2:$CX$1048576,100,0),"")</f>
        <v/>
      </c>
      <c r="D23" s="162" t="n"/>
      <c r="E23" s="162" t="n"/>
      <c r="F23" s="162" t="n"/>
      <c r="G23" s="162" t="n"/>
      <c r="H23" s="161" t="n"/>
    </row>
    <row r="24">
      <c r="A24" s="163" t="n"/>
      <c r="B24" s="162">
        <f>IFERROR(VLOOKUP(A24,'[1]MAESTRO ACTIVOS'!$A$3:$A$1048576,1,0)," ")</f>
        <v/>
      </c>
      <c r="C24" s="162">
        <f>IFERROR(VLOOKUP(A24,'[1]MAESTRO ACTIVOS'!$A$2:$CX$1048576,100,0),"")</f>
        <v/>
      </c>
      <c r="D24" s="162" t="n"/>
      <c r="E24" s="162" t="n"/>
      <c r="F24" s="162" t="n"/>
      <c r="G24" s="162" t="n"/>
      <c r="H24" s="161" t="n"/>
    </row>
    <row r="25">
      <c r="A25" s="163" t="n"/>
      <c r="B25" s="162">
        <f>IFERROR(VLOOKUP(A25,'[1]MAESTRO ACTIVOS'!$A$3:$A$1048576,1,0)," ")</f>
        <v/>
      </c>
      <c r="C25" s="162">
        <f>IFERROR(VLOOKUP(A25,'[1]MAESTRO ACTIVOS'!$A$2:$CX$1048576,100,0),"")</f>
        <v/>
      </c>
      <c r="D25" s="162" t="n"/>
      <c r="E25" s="162" t="n"/>
      <c r="F25" s="162" t="n"/>
      <c r="G25" s="162" t="n"/>
      <c r="H25" s="161" t="n"/>
    </row>
    <row r="26">
      <c r="A26" s="163" t="n"/>
      <c r="B26" s="162">
        <f>IFERROR(VLOOKUP(A26,'[1]MAESTRO ACTIVOS'!$A$3:$A$1048576,1,0)," ")</f>
        <v/>
      </c>
      <c r="C26" s="162">
        <f>IFERROR(VLOOKUP(A26,'[1]MAESTRO ACTIVOS'!$A$2:$CX$1048576,100,0),"")</f>
        <v/>
      </c>
      <c r="D26" s="162" t="n"/>
      <c r="E26" s="162" t="n"/>
      <c r="F26" s="162" t="n"/>
      <c r="G26" s="162" t="n"/>
      <c r="H26" s="161" t="n"/>
    </row>
    <row r="27">
      <c r="A27" s="163" t="n"/>
      <c r="B27" s="162">
        <f>IFERROR(VLOOKUP(A27,'[1]MAESTRO ACTIVOS'!$A$3:$A$1048576,1,0)," ")</f>
        <v/>
      </c>
      <c r="C27" s="162">
        <f>IFERROR(VLOOKUP(A27,'[1]MAESTRO ACTIVOS'!$A$2:$CX$1048576,100,0),"")</f>
        <v/>
      </c>
      <c r="D27" s="162" t="n"/>
      <c r="E27" s="162" t="n"/>
      <c r="F27" s="162" t="n"/>
      <c r="G27" s="162" t="n"/>
      <c r="H27" s="161" t="n"/>
    </row>
    <row r="28">
      <c r="A28" s="163" t="n"/>
      <c r="B28" s="162">
        <f>IFERROR(VLOOKUP(A28,'[1]MAESTRO ACTIVOS'!$A$3:$A$1048576,1,0)," ")</f>
        <v/>
      </c>
      <c r="C28" s="162">
        <f>IFERROR(VLOOKUP(A28,'[1]MAESTRO ACTIVOS'!$A$2:$CX$1048576,100,0),"")</f>
        <v/>
      </c>
      <c r="D28" s="162" t="n"/>
      <c r="E28" s="162" t="n"/>
      <c r="F28" s="162" t="n"/>
      <c r="G28" s="162" t="n"/>
      <c r="H28" s="161" t="n"/>
    </row>
    <row r="29">
      <c r="A29" s="163" t="n"/>
      <c r="B29" s="162">
        <f>IFERROR(VLOOKUP(A29,'[1]MAESTRO ACTIVOS'!$A$3:$A$1048576,1,0)," ")</f>
        <v/>
      </c>
      <c r="C29" s="162">
        <f>IFERROR(VLOOKUP(A29,'[1]MAESTRO ACTIVOS'!$A$2:$CX$1048576,100,0),"")</f>
        <v/>
      </c>
      <c r="D29" s="162" t="n"/>
      <c r="E29" s="162" t="n"/>
      <c r="F29" s="162" t="n"/>
      <c r="G29" s="162" t="n"/>
      <c r="H29" s="161" t="n"/>
    </row>
    <row r="30">
      <c r="A30" s="163" t="n"/>
      <c r="B30" s="162">
        <f>IFERROR(VLOOKUP(A30,'[1]MAESTRO ACTIVOS'!$A$3:$A$1048576,1,0)," ")</f>
        <v/>
      </c>
      <c r="C30" s="162">
        <f>IFERROR(VLOOKUP(A30,'[1]MAESTRO ACTIVOS'!$A$2:$CX$1048576,100,0),"")</f>
        <v/>
      </c>
      <c r="D30" s="162" t="n"/>
      <c r="E30" s="162" t="n"/>
      <c r="F30" s="162" t="n"/>
      <c r="G30" s="162" t="n"/>
      <c r="H30" s="161" t="n"/>
    </row>
    <row r="31">
      <c r="A31" s="163" t="n"/>
      <c r="B31" s="162">
        <f>IFERROR(VLOOKUP(A31,'[1]MAESTRO ACTIVOS'!$A$3:$A$1048576,1,0)," ")</f>
        <v/>
      </c>
      <c r="C31" s="162">
        <f>IFERROR(VLOOKUP(A31,'[1]MAESTRO ACTIVOS'!$A$2:$CX$1048576,100,0),"")</f>
        <v/>
      </c>
      <c r="D31" s="162" t="n"/>
      <c r="E31" s="162" t="n"/>
      <c r="F31" s="162" t="n"/>
      <c r="G31" s="162" t="n"/>
      <c r="H31" s="161" t="n"/>
    </row>
    <row r="32">
      <c r="A32" s="163" t="n"/>
      <c r="B32" s="162">
        <f>IFERROR(VLOOKUP(A32,'[1]MAESTRO ACTIVOS'!$A$3:$A$1048576,1,0)," ")</f>
        <v/>
      </c>
      <c r="C32" s="162">
        <f>IFERROR(VLOOKUP(A32,'[1]MAESTRO ACTIVOS'!$A$2:$CX$1048576,100,0),"")</f>
        <v/>
      </c>
      <c r="D32" s="162" t="n"/>
      <c r="E32" s="162" t="n"/>
      <c r="F32" s="162" t="n"/>
      <c r="G32" s="162" t="n"/>
      <c r="H32" s="161" t="n"/>
    </row>
    <row r="33">
      <c r="A33" s="163" t="n"/>
      <c r="B33" s="162">
        <f>IFERROR(VLOOKUP(A33,'[1]MAESTRO ACTIVOS'!$A$3:$A$1048576,1,0)," ")</f>
        <v/>
      </c>
      <c r="C33" s="162">
        <f>IFERROR(VLOOKUP(A33,'[1]MAESTRO ACTIVOS'!$A$2:$CX$1048576,100,0),"")</f>
        <v/>
      </c>
      <c r="D33" s="162" t="n"/>
      <c r="E33" s="162" t="n"/>
      <c r="F33" s="162" t="n"/>
      <c r="G33" s="162" t="n"/>
      <c r="H33" s="161" t="n"/>
    </row>
    <row r="34">
      <c r="A34" s="163" t="n"/>
      <c r="B34" s="162">
        <f>IFERROR(VLOOKUP(A34,'[1]MAESTRO ACTIVOS'!$A$3:$A$1048576,1,0)," ")</f>
        <v/>
      </c>
      <c r="C34" s="162">
        <f>IFERROR(VLOOKUP(A34,'[1]MAESTRO ACTIVOS'!$A$2:$CX$1048576,100,0),"")</f>
        <v/>
      </c>
      <c r="D34" s="162" t="n"/>
      <c r="E34" s="162" t="n"/>
      <c r="F34" s="162" t="n"/>
      <c r="G34" s="162" t="n"/>
      <c r="H34" s="161" t="n"/>
    </row>
    <row r="35">
      <c r="A35" s="163" t="n"/>
      <c r="B35" s="162">
        <f>IFERROR(VLOOKUP(A35,'[1]MAESTRO ACTIVOS'!$A$3:$A$1048576,1,0)," ")</f>
        <v/>
      </c>
      <c r="C35" s="162">
        <f>IFERROR(VLOOKUP(A35,'[1]MAESTRO ACTIVOS'!$A$2:$CX$1048576,100,0),"")</f>
        <v/>
      </c>
      <c r="D35" s="162" t="n"/>
      <c r="E35" s="162" t="n"/>
      <c r="F35" s="162" t="n"/>
      <c r="G35" s="162" t="n"/>
      <c r="H35" s="161"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83" t="inlineStr">
        <is>
          <t>ITEM</t>
        </is>
      </c>
      <c r="B1" s="151" t="inlineStr">
        <is>
          <t>CEDULA</t>
        </is>
      </c>
      <c r="C1" s="184" t="inlineStr">
        <is>
          <t>CODIGO</t>
        </is>
      </c>
      <c r="D1" s="184" t="inlineStr">
        <is>
          <t>NOMBRE</t>
        </is>
      </c>
      <c r="E1" s="184" t="inlineStr">
        <is>
          <t>CARGO</t>
        </is>
      </c>
      <c r="F1" s="185" t="inlineStr">
        <is>
          <t>FECHA DE INGRESO</t>
        </is>
      </c>
      <c r="G1" s="151" t="inlineStr">
        <is>
          <t>CONCEPTO</t>
        </is>
      </c>
      <c r="H1" s="186" t="inlineStr">
        <is>
          <t>VALOR HORA</t>
        </is>
      </c>
      <c r="I1" s="151" t="inlineStr">
        <is>
          <t>HORAS LABORADAS</t>
        </is>
      </c>
      <c r="J1" s="152" t="inlineStr">
        <is>
          <t>TOTAL</t>
        </is>
      </c>
    </row>
    <row r="2">
      <c r="A2" s="187" t="n"/>
      <c r="B2" s="188" t="n"/>
      <c r="C2" s="189" t="n"/>
      <c r="D2" s="189" t="n"/>
      <c r="E2" s="189" t="n"/>
      <c r="F2" s="189" t="n"/>
      <c r="G2" s="188" t="n"/>
      <c r="H2" s="188" t="n"/>
      <c r="I2" s="188" t="n"/>
      <c r="J2" s="189" t="n"/>
    </row>
    <row r="3" ht="15.75" customHeight="1">
      <c r="A3" s="2" t="n">
        <v>1</v>
      </c>
      <c r="B3" s="3" t="n"/>
      <c r="C3" s="5">
        <f>IFERROR(VLOOKUP(B3,#REF!,2,0)," ")</f>
        <v/>
      </c>
      <c r="D3" s="4">
        <f>IFERROR(VLOOKUP(B3,#REF!,4,0)," ")</f>
        <v/>
      </c>
      <c r="E3" s="4">
        <f>IFERROR(VLOOKUP(B3,#REF!,6,0)," ")</f>
        <v/>
      </c>
      <c r="F3" s="12">
        <f>IFERROR(VLOOKUP(B3,#REF!,8,0)," ")</f>
        <v/>
      </c>
      <c r="G3" s="190"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90"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90"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90"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90"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90"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90"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90"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90"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90"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90"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90"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90"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90"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90"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2026-07-17T16:15:17Z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