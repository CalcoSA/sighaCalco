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3"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3"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3"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3"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3"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3"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3"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3"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3"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4" t="inlineStr">
        <is>
          <t>ITEM</t>
        </is>
      </c>
      <c r="B1" s="151" t="inlineStr">
        <is>
          <t>CEDULA</t>
        </is>
      </c>
      <c r="C1" s="175" t="inlineStr">
        <is>
          <t>CODIGO</t>
        </is>
      </c>
      <c r="D1" s="175" t="inlineStr">
        <is>
          <t>NOMBRE</t>
        </is>
      </c>
      <c r="E1" s="175" t="inlineStr">
        <is>
          <t>CARGO</t>
        </is>
      </c>
      <c r="F1" s="176" t="inlineStr">
        <is>
          <t>FECHA DE INGRESO</t>
        </is>
      </c>
      <c r="G1" s="151" t="inlineStr">
        <is>
          <t>CONCEPTO</t>
        </is>
      </c>
      <c r="H1" s="177" t="inlineStr">
        <is>
          <t>VALOR HORA</t>
        </is>
      </c>
      <c r="I1" s="151" t="inlineStr">
        <is>
          <t>HORAS LABORADAS</t>
        </is>
      </c>
      <c r="J1" s="152" t="inlineStr">
        <is>
          <t>TOTAL</t>
        </is>
      </c>
    </row>
    <row r="2">
      <c r="A2" s="178" t="n"/>
      <c r="B2" s="179" t="n"/>
      <c r="C2" s="180" t="n"/>
      <c r="D2" s="180" t="n"/>
      <c r="E2" s="180" t="n"/>
      <c r="F2" s="180" t="n"/>
      <c r="G2" s="179" t="n"/>
      <c r="H2" s="179" t="n"/>
      <c r="I2" s="179" t="n"/>
      <c r="J2" s="180" t="n"/>
    </row>
    <row r="3" ht="15.75" customHeight="1">
      <c r="A3" s="2" t="n">
        <v>1</v>
      </c>
      <c r="B3" s="3" t="n"/>
      <c r="C3" s="5">
        <f>IFERROR(VLOOKUP(B3,#REF!,2,0)," ")</f>
        <v/>
      </c>
      <c r="D3" s="4">
        <f>IFERROR(VLOOKUP(B3,#REF!,4,0)," ")</f>
        <v/>
      </c>
      <c r="E3" s="4">
        <f>IFERROR(VLOOKUP(B3,#REF!,6,0)," ")</f>
        <v/>
      </c>
      <c r="F3" s="12">
        <f>IFERROR(VLOOKUP(B3,#REF!,8,0)," ")</f>
        <v/>
      </c>
      <c r="G3" s="18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2026-07-10T22:23:13Z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