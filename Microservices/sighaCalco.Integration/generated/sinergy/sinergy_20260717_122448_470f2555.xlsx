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n"/>
      <c r="P6" s="75" t="inlineStr">
        <is>
          <t>02/07/2026</t>
        </is>
      </c>
      <c r="Q6" s="71" t="inlineStr">
        <is>
          <t>001</t>
        </is>
      </c>
      <c r="R6" s="182" t="inlineStr">
        <is>
          <t>002</t>
        </is>
      </c>
      <c r="S6" s="72" t="n"/>
      <c r="T6" s="66" t="n"/>
      <c r="V6" s="72" t="n"/>
      <c r="W6" s="72" t="n"/>
      <c r="X6" s="178" t="inlineStr">
        <is>
          <t>002</t>
        </is>
      </c>
      <c r="Y6" s="66" t="n"/>
      <c r="Z6" s="66" t="inlineStr">
        <is>
          <t>01/10/2026</t>
        </is>
      </c>
      <c r="AA6" s="66" t="inlineStr">
        <is>
          <t>2</t>
        </is>
      </c>
      <c r="AB6" s="66" t="inlineStr">
        <is>
          <t>AUXILIAR RESTAURANTE</t>
        </is>
      </c>
      <c r="AC6" s="68" t="inlineStr">
        <is>
          <t>PORVENIR</t>
        </is>
      </c>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n"/>
      <c r="P7" s="75" t="inlineStr">
        <is>
          <t>02/07/2026</t>
        </is>
      </c>
      <c r="Q7" s="71" t="inlineStr">
        <is>
          <t>001</t>
        </is>
      </c>
      <c r="R7" s="182" t="inlineStr">
        <is>
          <t>002</t>
        </is>
      </c>
      <c r="S7" s="72" t="n"/>
      <c r="T7" s="66" t="n"/>
      <c r="V7" s="72" t="n"/>
      <c r="W7" s="72" t="n"/>
      <c r="X7" s="178" t="inlineStr">
        <is>
          <t>002</t>
        </is>
      </c>
      <c r="Y7" s="66" t="n"/>
      <c r="Z7" s="66" t="inlineStr">
        <is>
          <t>01/10/2026</t>
        </is>
      </c>
      <c r="AA7" s="66" t="inlineStr">
        <is>
          <t>2</t>
        </is>
      </c>
      <c r="AB7" s="66" t="inlineStr">
        <is>
          <t>AUXILIAR RESTAURANTE</t>
        </is>
      </c>
      <c r="AC7" s="68" t="inlineStr">
        <is>
          <t>PROTECCIÓN</t>
        </is>
      </c>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n"/>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inlineStr">
        <is>
          <t>NO APLICA</t>
        </is>
      </c>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n"/>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RESTAURANTE</t>
        </is>
      </c>
      <c r="AC9" s="68" t="inlineStr">
        <is>
          <t>NO APLICA</t>
        </is>
      </c>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n"/>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RESTAURANTE</t>
        </is>
      </c>
      <c r="AC10" s="68" t="inlineStr">
        <is>
          <t>NO APLICA</t>
        </is>
      </c>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DOMICILIARIO (A)</t>
        </is>
      </c>
      <c r="AC11" s="68" t="inlineStr">
        <is>
          <t>PORVENIR</t>
        </is>
      </c>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n"/>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LOGISTICO OPERATIVO</t>
        </is>
      </c>
      <c r="AC12" s="68" t="inlineStr">
        <is>
          <t>NO APLICA</t>
        </is>
      </c>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n"/>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RESTAURANTE</t>
        </is>
      </c>
      <c r="AC13" s="68" t="inlineStr">
        <is>
          <t>NO APLICA</t>
        </is>
      </c>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n"/>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RESTAURANTE</t>
        </is>
      </c>
      <c r="AC14" s="68" t="inlineStr">
        <is>
          <t>PORVENIR</t>
        </is>
      </c>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n"/>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RESTAURANTE</t>
        </is>
      </c>
      <c r="AC15" s="68" t="inlineStr">
        <is>
          <t>COLFONDOS</t>
        </is>
      </c>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n"/>
      <c r="P16" s="75" t="inlineStr">
        <is>
          <t>02/07/2026</t>
        </is>
      </c>
      <c r="Q16" s="71" t="inlineStr">
        <is>
          <t>003</t>
        </is>
      </c>
      <c r="R16" s="182" t="inlineStr">
        <is>
          <t>002</t>
        </is>
      </c>
      <c r="S16" s="72" t="n"/>
      <c r="T16" s="66" t="n"/>
      <c r="U16" s="65" t="n"/>
      <c r="V16" s="72" t="n"/>
      <c r="W16" s="72" t="n"/>
      <c r="X16" s="178" t="inlineStr">
        <is>
          <t>002</t>
        </is>
      </c>
      <c r="Y16" s="66" t="n"/>
      <c r="Z16" s="66" t="inlineStr">
        <is>
          <t>01/01/2027</t>
        </is>
      </c>
      <c r="AA16" s="66" t="inlineStr">
        <is>
          <t>2</t>
        </is>
      </c>
      <c r="AB16" s="66" t="inlineStr">
        <is>
          <t>APRENDIZ</t>
        </is>
      </c>
      <c r="AC16" s="68" t="inlineStr">
        <is>
          <t>NO APLICA</t>
        </is>
      </c>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n"/>
      <c r="P17" s="75" t="inlineStr">
        <is>
          <t>02/07/2026</t>
        </is>
      </c>
      <c r="Q17" s="71" t="inlineStr">
        <is>
          <t>003</t>
        </is>
      </c>
      <c r="R17" s="182" t="inlineStr">
        <is>
          <t>002</t>
        </is>
      </c>
      <c r="S17" s="72" t="n"/>
      <c r="T17" s="66" t="n"/>
      <c r="U17" s="65" t="n"/>
      <c r="V17" s="72" t="n"/>
      <c r="W17" s="72" t="n"/>
      <c r="X17" s="178" t="inlineStr">
        <is>
          <t>002</t>
        </is>
      </c>
      <c r="Y17" s="66" t="n"/>
      <c r="Z17" s="66" t="inlineStr">
        <is>
          <t>24/03/2028</t>
        </is>
      </c>
      <c r="AA17" s="66" t="inlineStr">
        <is>
          <t>2</t>
        </is>
      </c>
      <c r="AB17" s="66" t="inlineStr">
        <is>
          <t>APRENDIZ</t>
        </is>
      </c>
      <c r="AC17" s="68" t="inlineStr">
        <is>
          <t>NO APLICA</t>
        </is>
      </c>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n"/>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RESTAURANTE</t>
        </is>
      </c>
      <c r="AC18" s="68" t="inlineStr">
        <is>
          <t>PROTECCIÓN</t>
        </is>
      </c>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n"/>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RESTAURANTE</t>
        </is>
      </c>
      <c r="AC19" s="68" t="inlineStr">
        <is>
          <t>PORVENIR</t>
        </is>
      </c>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n"/>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PRODUCCION</t>
        </is>
      </c>
      <c r="AC20" s="68" t="inlineStr">
        <is>
          <t>PROTECCIÓN</t>
        </is>
      </c>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n"/>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RESTAURANTE</t>
        </is>
      </c>
      <c r="AC21" s="68" t="inlineStr">
        <is>
          <t>PROTECCIÓN</t>
        </is>
      </c>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n"/>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RESTAURANTE</t>
        </is>
      </c>
      <c r="AC22" s="68" t="inlineStr">
        <is>
          <t>PROTECCIÓN</t>
        </is>
      </c>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n"/>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RESTAURANTE</t>
        </is>
      </c>
      <c r="AC23" s="68" t="inlineStr">
        <is>
          <t>PROTECCIÓN</t>
        </is>
      </c>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n"/>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RESTAURANTE</t>
        </is>
      </c>
      <c r="AC24" s="68" t="inlineStr">
        <is>
          <t>NO APLICA</t>
        </is>
      </c>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4" t="inlineStr">
        <is>
          <t>ITEM</t>
        </is>
      </c>
      <c r="B1" s="151" t="inlineStr">
        <is>
          <t>CEDULA</t>
        </is>
      </c>
      <c r="C1" s="185" t="inlineStr">
        <is>
          <t>CODIGO</t>
        </is>
      </c>
      <c r="D1" s="185" t="inlineStr">
        <is>
          <t>NOMBRE</t>
        </is>
      </c>
      <c r="E1" s="185" t="inlineStr">
        <is>
          <t>CARGO</t>
        </is>
      </c>
      <c r="F1" s="186" t="inlineStr">
        <is>
          <t>FECHA DE INGRESO</t>
        </is>
      </c>
      <c r="G1" s="151" t="inlineStr">
        <is>
          <t>CONCEPTO</t>
        </is>
      </c>
      <c r="H1" s="187" t="inlineStr">
        <is>
          <t>VALOR HORA</t>
        </is>
      </c>
      <c r="I1" s="151" t="inlineStr">
        <is>
          <t>HORAS LABORADAS</t>
        </is>
      </c>
      <c r="J1" s="152" t="inlineStr">
        <is>
          <t>TOTAL</t>
        </is>
      </c>
    </row>
    <row r="2">
      <c r="A2" s="188" t="n"/>
      <c r="B2" s="189" t="n"/>
      <c r="C2" s="190" t="n"/>
      <c r="D2" s="190" t="n"/>
      <c r="E2" s="190" t="n"/>
      <c r="F2" s="190" t="n"/>
      <c r="G2" s="189" t="n"/>
      <c r="H2" s="189" t="n"/>
      <c r="I2" s="189" t="n"/>
      <c r="J2" s="190" t="n"/>
    </row>
    <row r="3" ht="15.75" customHeight="1">
      <c r="A3" s="2" t="n">
        <v>1</v>
      </c>
      <c r="B3" s="3" t="n"/>
      <c r="C3" s="5">
        <f>IFERROR(VLOOKUP(B3,#REF!,2,0)," ")</f>
        <v/>
      </c>
      <c r="D3" s="4">
        <f>IFERROR(VLOOKUP(B3,#REF!,4,0)," ")</f>
        <v/>
      </c>
      <c r="E3" s="4">
        <f>IFERROR(VLOOKUP(B3,#REF!,6,0)," ")</f>
        <v/>
      </c>
      <c r="F3" s="12">
        <f>IFERROR(VLOOKUP(B3,#REF!,8,0)," ")</f>
        <v/>
      </c>
      <c r="G3" s="19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2026-07-17T17:24:46Z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