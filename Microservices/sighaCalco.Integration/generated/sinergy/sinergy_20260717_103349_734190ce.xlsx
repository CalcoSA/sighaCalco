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c r="J6" s="66" t="inlineStr">
        <is>
          <t>C</t>
        </is>
      </c>
      <c r="K6" s="180" t="inlineStr">
        <is>
          <t>1.000.748.147</t>
        </is>
      </c>
      <c r="L6" s="75" t="inlineStr">
        <is>
          <t>MEDELLIN</t>
        </is>
      </c>
      <c r="M6" s="66" t="inlineStr">
        <is>
          <t>F</t>
        </is>
      </c>
      <c r="N6" s="75" t="inlineStr"/>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c r="J7" s="66" t="inlineStr">
        <is>
          <t>C</t>
        </is>
      </c>
      <c r="K7" s="180" t="inlineStr">
        <is>
          <t>1.064.978.389</t>
        </is>
      </c>
      <c r="L7" s="75" t="inlineStr">
        <is>
          <t>CORDOBA</t>
        </is>
      </c>
      <c r="M7" s="66" t="inlineStr">
        <is>
          <t>F</t>
        </is>
      </c>
      <c r="N7" s="75" t="inlineStr"/>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c r="J8" s="66" t="inlineStr">
        <is>
          <t>C</t>
        </is>
      </c>
      <c r="K8" s="180" t="inlineStr">
        <is>
          <t>1.017.271.083</t>
        </is>
      </c>
      <c r="L8" s="75" t="inlineStr">
        <is>
          <t>MEDELLIN</t>
        </is>
      </c>
      <c r="M8" s="66" t="inlineStr">
        <is>
          <t>M</t>
        </is>
      </c>
      <c r="N8" s="75" t="inlineStr"/>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c r="J9" s="66" t="inlineStr">
        <is>
          <t>C</t>
        </is>
      </c>
      <c r="K9" s="180" t="inlineStr">
        <is>
          <t>1.003.933.861</t>
        </is>
      </c>
      <c r="L9" s="75" t="inlineStr">
        <is>
          <t>QUIBDO</t>
        </is>
      </c>
      <c r="M9" s="66" t="inlineStr">
        <is>
          <t>F</t>
        </is>
      </c>
      <c r="N9" s="75" t="inlineStr"/>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c r="J10" s="66" t="inlineStr">
        <is>
          <t>C</t>
        </is>
      </c>
      <c r="K10" s="180" t="inlineStr">
        <is>
          <t>1.025.655.546</t>
        </is>
      </c>
      <c r="L10" s="75" t="inlineStr">
        <is>
          <t>LA ESTRELLA</t>
        </is>
      </c>
      <c r="M10" s="66" t="inlineStr">
        <is>
          <t>F</t>
        </is>
      </c>
      <c r="N10" s="75" t="inlineStr"/>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c r="J11" s="66" t="inlineStr">
        <is>
          <t>C</t>
        </is>
      </c>
      <c r="K11" s="180" t="inlineStr">
        <is>
          <t>1.193.279.642</t>
        </is>
      </c>
      <c r="L11" s="75" t="inlineStr">
        <is>
          <t>MANIZALES</t>
        </is>
      </c>
      <c r="M11" s="66" t="inlineStr">
        <is>
          <t>M</t>
        </is>
      </c>
      <c r="N11" s="75" t="inlineStr"/>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c r="J12" s="66" t="inlineStr">
        <is>
          <t>C</t>
        </is>
      </c>
      <c r="K12" s="180" t="inlineStr">
        <is>
          <t>1.000.914.794</t>
        </is>
      </c>
      <c r="L12" s="75" t="inlineStr">
        <is>
          <t>CONCORDIA</t>
        </is>
      </c>
      <c r="M12" s="66" t="inlineStr">
        <is>
          <t>M</t>
        </is>
      </c>
      <c r="N12" s="75" t="inlineStr"/>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c r="J13" s="66" t="inlineStr">
        <is>
          <t>C</t>
        </is>
      </c>
      <c r="K13" s="180" t="inlineStr">
        <is>
          <t>1.005.525.062</t>
        </is>
      </c>
      <c r="L13" s="75" t="inlineStr">
        <is>
          <t>SAN BENITO ABAD</t>
        </is>
      </c>
      <c r="M13" s="66" t="inlineStr">
        <is>
          <t>F</t>
        </is>
      </c>
      <c r="N13" s="75" t="inlineStr"/>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c r="J14" s="66" t="inlineStr">
        <is>
          <t>C</t>
        </is>
      </c>
      <c r="K14" s="180" t="inlineStr">
        <is>
          <t>1.017.246.891</t>
        </is>
      </c>
      <c r="L14" s="75" t="inlineStr">
        <is>
          <t>MEDELLIN</t>
        </is>
      </c>
      <c r="M14" s="66" t="inlineStr">
        <is>
          <t>F</t>
        </is>
      </c>
      <c r="N14" s="75" t="inlineStr"/>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c r="J15" s="66" t="inlineStr">
        <is>
          <t>C</t>
        </is>
      </c>
      <c r="K15" s="180" t="inlineStr">
        <is>
          <t>1.133.709.029</t>
        </is>
      </c>
      <c r="L15" s="75" t="inlineStr">
        <is>
          <t>CONDOTO</t>
        </is>
      </c>
      <c r="M15" s="66" t="inlineStr">
        <is>
          <t>F</t>
        </is>
      </c>
      <c r="N15" s="75" t="inlineStr"/>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c r="J16" s="66" t="inlineStr">
        <is>
          <t>C</t>
        </is>
      </c>
      <c r="K16" s="180" t="inlineStr">
        <is>
          <t>1.033.181.083</t>
        </is>
      </c>
      <c r="L16" s="75" t="inlineStr">
        <is>
          <t>MEDELLIN</t>
        </is>
      </c>
      <c r="M16" s="66" t="inlineStr">
        <is>
          <t>F</t>
        </is>
      </c>
      <c r="N16" s="75" t="inlineStr"/>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c r="J17" s="66" t="inlineStr">
        <is>
          <t>C</t>
        </is>
      </c>
      <c r="K17" s="180" t="inlineStr">
        <is>
          <t>1.023.635.133</t>
        </is>
      </c>
      <c r="L17" s="75" t="inlineStr">
        <is>
          <t>COPACABANA</t>
        </is>
      </c>
      <c r="M17" s="66" t="inlineStr">
        <is>
          <t>M</t>
        </is>
      </c>
      <c r="N17" s="75" t="inlineStr"/>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c r="J18" s="66" t="inlineStr">
        <is>
          <t>C</t>
        </is>
      </c>
      <c r="K18" s="180" t="inlineStr">
        <is>
          <t>1.193.089.435</t>
        </is>
      </c>
      <c r="L18" s="75" t="inlineStr">
        <is>
          <t>ARBOLETES</t>
        </is>
      </c>
      <c r="M18" s="66" t="inlineStr">
        <is>
          <t>F</t>
        </is>
      </c>
      <c r="N18" s="75" t="inlineStr"/>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c r="J19" s="66" t="inlineStr">
        <is>
          <t>C</t>
        </is>
      </c>
      <c r="K19" s="180" t="inlineStr">
        <is>
          <t>1.063.307.992</t>
        </is>
      </c>
      <c r="L19" s="75" t="inlineStr">
        <is>
          <t>MONTELIBANO</t>
        </is>
      </c>
      <c r="M19" s="66" t="inlineStr">
        <is>
          <t>F</t>
        </is>
      </c>
      <c r="N19" s="75" t="inlineStr"/>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c r="J20" s="66" t="inlineStr">
        <is>
          <t>C</t>
        </is>
      </c>
      <c r="K20" s="180" t="inlineStr">
        <is>
          <t>1.040.358.283</t>
        </is>
      </c>
      <c r="L20" s="75" t="inlineStr">
        <is>
          <t>CAREPA</t>
        </is>
      </c>
      <c r="M20" s="66" t="inlineStr">
        <is>
          <t>M</t>
        </is>
      </c>
      <c r="N20" s="75" t="inlineStr"/>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c r="J21" s="66" t="inlineStr">
        <is>
          <t>C</t>
        </is>
      </c>
      <c r="K21" s="180" t="inlineStr">
        <is>
          <t>1.017.223.596</t>
        </is>
      </c>
      <c r="L21" s="75" t="inlineStr">
        <is>
          <t>MEDELLIN</t>
        </is>
      </c>
      <c r="M21" s="66" t="inlineStr">
        <is>
          <t>F</t>
        </is>
      </c>
      <c r="N21" s="75" t="inlineStr"/>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c r="J22" s="66" t="inlineStr">
        <is>
          <t>U</t>
        </is>
      </c>
      <c r="K22" s="180" t="inlineStr">
        <is>
          <t>5.970.491</t>
        </is>
      </c>
      <c r="L22" s="75" t="inlineStr">
        <is>
          <t>BOGOTA</t>
        </is>
      </c>
      <c r="M22" s="66" t="inlineStr">
        <is>
          <t>F</t>
        </is>
      </c>
      <c r="N22" s="75" t="inlineStr"/>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c r="J23" s="66" t="inlineStr">
        <is>
          <t>C</t>
        </is>
      </c>
      <c r="K23" s="180" t="inlineStr">
        <is>
          <t>1.004.967.684</t>
        </is>
      </c>
      <c r="L23" s="75" t="inlineStr">
        <is>
          <t>EL PEÑOL</t>
        </is>
      </c>
      <c r="M23" s="66" t="inlineStr">
        <is>
          <t>F</t>
        </is>
      </c>
      <c r="N23" s="75" t="inlineStr"/>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c r="J24" s="66" t="inlineStr">
        <is>
          <t>C</t>
        </is>
      </c>
      <c r="K24" s="180" t="inlineStr">
        <is>
          <t>1.241.591.485</t>
        </is>
      </c>
      <c r="L24" s="75" t="inlineStr">
        <is>
          <t>BARRANCABERMEJA</t>
        </is>
      </c>
      <c r="M24" s="66" t="inlineStr">
        <is>
          <t>F</t>
        </is>
      </c>
      <c r="N24" s="75" t="inlineStr"/>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3" t="inlineStr">
        <is>
          <t>ITEM</t>
        </is>
      </c>
      <c r="B1" s="151" t="inlineStr">
        <is>
          <t>CEDULA</t>
        </is>
      </c>
      <c r="C1" s="184" t="inlineStr">
        <is>
          <t>CODIGO</t>
        </is>
      </c>
      <c r="D1" s="184" t="inlineStr">
        <is>
          <t>NOMBRE</t>
        </is>
      </c>
      <c r="E1" s="184" t="inlineStr">
        <is>
          <t>CARGO</t>
        </is>
      </c>
      <c r="F1" s="185" t="inlineStr">
        <is>
          <t>FECHA DE INGRESO</t>
        </is>
      </c>
      <c r="G1" s="151" t="inlineStr">
        <is>
          <t>CONCEPTO</t>
        </is>
      </c>
      <c r="H1" s="186" t="inlineStr">
        <is>
          <t>VALOR HORA</t>
        </is>
      </c>
      <c r="I1" s="151" t="inlineStr">
        <is>
          <t>HORAS LABORADAS</t>
        </is>
      </c>
      <c r="J1" s="152" t="inlineStr">
        <is>
          <t>TOTAL</t>
        </is>
      </c>
    </row>
    <row r="2">
      <c r="A2" s="187" t="n"/>
      <c r="B2" s="188" t="n"/>
      <c r="C2" s="189" t="n"/>
      <c r="D2" s="189" t="n"/>
      <c r="E2" s="189" t="n"/>
      <c r="F2" s="189" t="n"/>
      <c r="G2" s="188" t="n"/>
      <c r="H2" s="188" t="n"/>
      <c r="I2" s="188" t="n"/>
      <c r="J2" s="189" t="n"/>
    </row>
    <row r="3" ht="15.75" customHeight="1">
      <c r="A3" s="2" t="n">
        <v>1</v>
      </c>
      <c r="B3" s="3" t="n"/>
      <c r="C3" s="5">
        <f>IFERROR(VLOOKUP(B3,#REF!,2,0)," ")</f>
        <v/>
      </c>
      <c r="D3" s="4">
        <f>IFERROR(VLOOKUP(B3,#REF!,4,0)," ")</f>
        <v/>
      </c>
      <c r="E3" s="4">
        <f>IFERROR(VLOOKUP(B3,#REF!,6,0)," ")</f>
        <v/>
      </c>
      <c r="F3" s="12">
        <f>IFERROR(VLOOKUP(B3,#REF!,8,0)," ")</f>
        <v/>
      </c>
      <c r="G3" s="19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2026-07-17T15:33:47Z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