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3">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inlineStr">
        <is>
          <t>3561101</t>
        </is>
      </c>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O6" t="inlineStr">
        <is>
          <t>ANTIOQUIA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Antioquia</t>
        </is>
      </c>
      <c r="DG6" s="66" t="inlineStr">
        <is>
          <t>Medellín</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inlineStr">
        <is>
          <t>3561101</t>
        </is>
      </c>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O7" t="inlineStr">
        <is>
          <t>CORDOBA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Medellín</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inlineStr">
        <is>
          <t>2521001</t>
        </is>
      </c>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O8" t="inlineStr"/>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Medellín</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inlineStr">
        <is>
          <t>3561101</t>
        </is>
      </c>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O9" t="inlineStr">
        <is>
          <t>CHOCO</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Medellín</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inlineStr">
        <is>
          <t>3561101</t>
        </is>
      </c>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O10" t="inlineStr"/>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Bello</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inlineStr">
        <is>
          <t>4492201</t>
        </is>
      </c>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O11" t="inlineStr">
        <is>
          <t>CALDAS</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inlineStr">
        <is>
          <t>2521001</t>
        </is>
      </c>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O12" t="inlineStr">
        <is>
          <t>ANTIOQUIA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Medellín</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inlineStr">
        <is>
          <t>3561101</t>
        </is>
      </c>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O13" t="inlineStr">
        <is>
          <t>SUCRE</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Medellín</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inlineStr">
        <is>
          <t>3561101</t>
        </is>
      </c>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O14" t="inlineStr">
        <is>
          <t>ANTIOQUIA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Medellín</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inlineStr">
        <is>
          <t>3561101</t>
        </is>
      </c>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O15" t="inlineStr">
        <is>
          <t>CHOCO</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Medellín</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inlineStr">
        <is>
          <t>3561101</t>
        </is>
      </c>
      <c r="BD16" s="66" t="inlineStr">
        <is>
          <t>02/07/2026</t>
        </is>
      </c>
      <c r="BE16" s="68" t="n"/>
      <c r="BF16" s="66" t="inlineStr">
        <is>
          <t>1</t>
        </is>
      </c>
      <c r="BG16" s="180" t="inlineStr">
        <is>
          <t>johana.michel2006@gmail.com</t>
        </is>
      </c>
      <c r="BH16" s="188"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O16" t="inlineStr">
        <is>
          <t>ANTIOQUIA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t>
        </is>
      </c>
      <c r="CL16" s="66" t="n"/>
      <c r="CM16" s="66" t="inlineStr">
        <is>
          <t>19</t>
        </is>
      </c>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Medellín</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inlineStr">
        <is>
          <t>3561101</t>
        </is>
      </c>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O17" t="inlineStr">
        <is>
          <t>ANTIOQUIA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t>
        </is>
      </c>
      <c r="CL17" s="66" t="n"/>
      <c r="CM17" s="66" t="inlineStr">
        <is>
          <t>12</t>
        </is>
      </c>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Antioquia</t>
        </is>
      </c>
      <c r="DG17" s="66" t="inlineStr">
        <is>
          <t>Medellín</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inlineStr">
        <is>
          <t>3561101</t>
        </is>
      </c>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O18" t="inlineStr">
        <is>
          <t>ANTIOQUIA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Medellín</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inlineStr">
        <is>
          <t>3561101</t>
        </is>
      </c>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O19" t="inlineStr">
        <is>
          <t>ANTIOQUIA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Medellín</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inlineStr">
        <is>
          <t>2108901</t>
        </is>
      </c>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O20" t="inlineStr">
        <is>
          <t>ANTIOQUIA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Medellín</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inlineStr">
        <is>
          <t>3561101</t>
        </is>
      </c>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O21" t="inlineStr">
        <is>
          <t>ANTIOQUIA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Medellín</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inlineStr">
        <is>
          <t>3561101</t>
        </is>
      </c>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O22" t="inlineStr"/>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Medellín</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inlineStr">
        <is>
          <t>3561101</t>
        </is>
      </c>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O23" t="inlineStr">
        <is>
          <t>NORTE DE SANTANDER</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Medellín</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inlineStr">
        <is>
          <t>3561101</t>
        </is>
      </c>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O24" t="inlineStr"/>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Bello</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0" t="inlineStr">
        <is>
          <t>1.017.271.083</t>
        </is>
      </c>
      <c r="B5" s="191" t="inlineStr">
        <is>
          <t>1.017.271.083</t>
        </is>
      </c>
      <c r="C5" s="191" t="inlineStr">
        <is>
          <t>España Ramirez Cristian David</t>
        </is>
      </c>
      <c r="D5" s="191" t="inlineStr">
        <is>
          <t>Bancolombia</t>
        </is>
      </c>
      <c r="E5" s="166" t="inlineStr">
        <is>
          <t>24591705411</t>
        </is>
      </c>
      <c r="F5" s="165" t="inlineStr">
        <is>
          <t>Ahorro</t>
        </is>
      </c>
      <c r="G5" s="192" t="n"/>
      <c r="H5" s="193" t="n"/>
    </row>
    <row r="6">
      <c r="A6" s="194" t="inlineStr">
        <is>
          <t>5.970.491</t>
        </is>
      </c>
      <c r="B6" s="191" t="inlineStr">
        <is>
          <t>5.970.491</t>
        </is>
      </c>
      <c r="C6" s="191" t="inlineStr">
        <is>
          <t>Herrera Melendez Maria De Los Ángeles</t>
        </is>
      </c>
      <c r="D6" s="191" t="inlineStr">
        <is>
          <t>Bancolombia</t>
        </is>
      </c>
      <c r="E6" s="191" t="inlineStr">
        <is>
          <t>01900006285</t>
        </is>
      </c>
      <c r="F6" s="191" t="inlineStr">
        <is>
          <t>Ahorro</t>
        </is>
      </c>
      <c r="G6" s="192" t="n"/>
      <c r="H6" s="193" t="n"/>
    </row>
    <row r="7">
      <c r="A7" s="194" t="inlineStr">
        <is>
          <t>1.241.591.485</t>
        </is>
      </c>
      <c r="B7" s="191" t="inlineStr">
        <is>
          <t>1.241.591.485</t>
        </is>
      </c>
      <c r="C7" s="191" t="inlineStr">
        <is>
          <t>Landino Beleño Melvis Genoveva</t>
        </is>
      </c>
      <c r="D7" s="191" t="inlineStr">
        <is>
          <t>Bancolombia</t>
        </is>
      </c>
      <c r="E7" s="191" t="inlineStr">
        <is>
          <t>25500065594</t>
        </is>
      </c>
      <c r="F7" s="191" t="inlineStr">
        <is>
          <t>Ahorro</t>
        </is>
      </c>
      <c r="G7" s="191" t="n"/>
      <c r="H7" s="193" t="n"/>
    </row>
    <row r="8">
      <c r="A8" s="194" t="n"/>
      <c r="B8" s="191" t="n"/>
      <c r="C8" s="191" t="n"/>
      <c r="D8" s="191" t="n"/>
      <c r="E8" s="191" t="n"/>
      <c r="F8" s="191" t="n"/>
      <c r="G8" s="191" t="n"/>
      <c r="H8" s="193" t="n"/>
    </row>
    <row r="9">
      <c r="A9" s="194" t="n"/>
      <c r="B9" s="191" t="n"/>
      <c r="C9" s="191" t="n"/>
      <c r="D9" s="191" t="n"/>
      <c r="E9" s="191" t="n"/>
      <c r="F9" s="191" t="n"/>
      <c r="G9" s="191" t="n"/>
      <c r="H9" s="193" t="n"/>
    </row>
    <row r="10">
      <c r="A10" s="194" t="n"/>
      <c r="B10" s="191" t="n"/>
      <c r="C10" s="191" t="n"/>
      <c r="D10" s="191" t="n"/>
      <c r="E10" s="191" t="n"/>
      <c r="F10" s="191" t="n"/>
      <c r="G10" s="191" t="n"/>
      <c r="H10" s="193" t="n"/>
    </row>
    <row r="11">
      <c r="A11" s="194" t="n"/>
      <c r="B11" s="191" t="n"/>
      <c r="C11" s="191" t="n"/>
      <c r="D11" s="191" t="n"/>
      <c r="E11" s="191" t="n"/>
      <c r="F11" s="191" t="n"/>
      <c r="G11" s="191" t="n"/>
      <c r="H11" s="193" t="n"/>
    </row>
    <row r="12">
      <c r="A12" s="194" t="n"/>
      <c r="B12" s="191" t="n"/>
      <c r="C12" s="191" t="n"/>
      <c r="D12" s="191" t="n"/>
      <c r="E12" s="191" t="n"/>
      <c r="F12" s="191" t="n"/>
      <c r="G12" s="191" t="n"/>
      <c r="H12" s="193" t="n"/>
    </row>
    <row r="13">
      <c r="A13" s="194" t="n"/>
      <c r="B13" s="191" t="n"/>
      <c r="C13" s="191" t="n"/>
      <c r="D13" s="191" t="n"/>
      <c r="E13" s="191" t="n"/>
      <c r="F13" s="191" t="n"/>
      <c r="G13" s="191" t="n"/>
      <c r="H13" s="193" t="n"/>
    </row>
    <row r="14">
      <c r="A14" s="194" t="n"/>
      <c r="B14" s="191" t="n"/>
      <c r="C14" s="191" t="n"/>
      <c r="D14" s="191" t="n"/>
      <c r="E14" s="191" t="n"/>
      <c r="F14" s="191" t="n"/>
      <c r="G14" s="191" t="n"/>
      <c r="H14" s="193" t="n"/>
    </row>
    <row r="15">
      <c r="A15" s="194" t="n"/>
      <c r="B15" s="191" t="n"/>
      <c r="C15" s="191" t="n"/>
      <c r="D15" s="191" t="n"/>
      <c r="E15" s="191" t="n"/>
      <c r="F15" s="191" t="n"/>
      <c r="G15" s="191" t="n"/>
      <c r="H15" s="193" t="n"/>
    </row>
    <row r="16">
      <c r="A16" s="194" t="n"/>
      <c r="B16" s="191" t="n"/>
      <c r="C16" s="191" t="n"/>
      <c r="D16" s="191" t="n"/>
      <c r="E16" s="191" t="n"/>
      <c r="F16" s="191" t="n"/>
      <c r="G16" s="191" t="n"/>
      <c r="H16" s="193" t="n"/>
    </row>
    <row r="17">
      <c r="A17" s="194" t="n"/>
      <c r="B17" s="191" t="n"/>
      <c r="C17" s="191" t="n"/>
      <c r="D17" s="191" t="n"/>
      <c r="E17" s="191" t="n"/>
      <c r="F17" s="191" t="n"/>
      <c r="G17" s="191" t="n"/>
      <c r="H17" s="193" t="n"/>
    </row>
    <row r="18">
      <c r="A18" s="194" t="n"/>
      <c r="B18" s="191" t="n"/>
      <c r="C18" s="191" t="n"/>
      <c r="D18" s="191" t="n"/>
      <c r="E18" s="191" t="n"/>
      <c r="F18" s="191" t="n"/>
      <c r="G18" s="191" t="n"/>
      <c r="H18" s="193" t="n"/>
    </row>
    <row r="19">
      <c r="A19" s="194" t="n"/>
      <c r="B19" s="191" t="n"/>
      <c r="C19" s="191" t="n"/>
      <c r="D19" s="191" t="n"/>
      <c r="E19" s="191" t="n"/>
      <c r="F19" s="191" t="n"/>
      <c r="G19" s="191" t="n"/>
      <c r="H19" s="193" t="n"/>
    </row>
    <row r="20">
      <c r="A20" s="194" t="n"/>
      <c r="B20" s="191" t="n"/>
      <c r="C20" s="191" t="n"/>
      <c r="D20" s="191" t="n"/>
      <c r="E20" s="191" t="n"/>
      <c r="F20" s="191" t="n"/>
      <c r="G20" s="191" t="n"/>
      <c r="H20" s="193" t="n"/>
    </row>
    <row r="21">
      <c r="A21" s="194" t="n"/>
      <c r="B21" s="191" t="n"/>
      <c r="C21" s="191" t="n"/>
      <c r="D21" s="191" t="n"/>
      <c r="E21" s="191" t="n"/>
      <c r="F21" s="191" t="n"/>
      <c r="G21" s="191" t="n"/>
      <c r="H21" s="193" t="n"/>
    </row>
    <row r="22">
      <c r="A22" s="194" t="n"/>
      <c r="B22" s="191" t="n"/>
      <c r="C22" s="191" t="n"/>
      <c r="D22" s="191" t="n"/>
      <c r="E22" s="191" t="n"/>
      <c r="F22" s="191" t="n"/>
      <c r="G22" s="191" t="n"/>
      <c r="H22" s="193" t="n"/>
    </row>
    <row r="23">
      <c r="A23" s="194" t="n"/>
      <c r="B23" s="191" t="n"/>
      <c r="C23" s="191" t="n"/>
      <c r="D23" s="191" t="n"/>
      <c r="E23" s="191" t="n"/>
      <c r="F23" s="191" t="n"/>
      <c r="G23" s="191" t="n"/>
      <c r="H23" s="193" t="n"/>
    </row>
    <row r="24">
      <c r="A24" s="194" t="n"/>
      <c r="B24" s="191" t="n"/>
      <c r="C24" s="191" t="n"/>
      <c r="D24" s="191" t="n"/>
      <c r="E24" s="191" t="n"/>
      <c r="F24" s="191" t="n"/>
      <c r="G24" s="191" t="n"/>
      <c r="H24" s="193" t="n"/>
    </row>
    <row r="25">
      <c r="A25" s="194" t="n"/>
      <c r="B25" s="191" t="n"/>
      <c r="C25" s="191" t="n"/>
      <c r="D25" s="191" t="n"/>
      <c r="E25" s="191" t="n"/>
      <c r="F25" s="191" t="n"/>
      <c r="G25" s="191" t="n"/>
      <c r="H25" s="193" t="n"/>
    </row>
    <row r="26">
      <c r="A26" s="194" t="n"/>
      <c r="B26" s="191" t="n"/>
      <c r="C26" s="191" t="n"/>
      <c r="D26" s="191" t="n"/>
      <c r="E26" s="191" t="n"/>
      <c r="F26" s="191" t="n"/>
      <c r="G26" s="191" t="n"/>
      <c r="H26" s="193" t="n"/>
    </row>
    <row r="27">
      <c r="A27" s="194" t="n"/>
      <c r="B27" s="191" t="n"/>
      <c r="C27" s="191" t="n"/>
      <c r="D27" s="191" t="n"/>
      <c r="E27" s="191" t="n"/>
      <c r="F27" s="191" t="n"/>
      <c r="G27" s="191" t="n"/>
      <c r="H27" s="193" t="n"/>
    </row>
    <row r="28">
      <c r="A28" s="194" t="n"/>
      <c r="B28" s="191" t="n"/>
      <c r="C28" s="191" t="n"/>
      <c r="D28" s="191" t="n"/>
      <c r="E28" s="191" t="n"/>
      <c r="F28" s="191" t="n"/>
      <c r="G28" s="191" t="n"/>
      <c r="H28" s="193" t="n"/>
    </row>
    <row r="29">
      <c r="A29" s="194" t="n"/>
      <c r="B29" s="191" t="n"/>
      <c r="C29" s="191" t="n"/>
      <c r="D29" s="191" t="n"/>
      <c r="E29" s="191" t="n"/>
      <c r="F29" s="191" t="n"/>
      <c r="G29" s="191" t="n"/>
      <c r="H29" s="193" t="n"/>
    </row>
    <row r="30">
      <c r="A30" s="194" t="n"/>
      <c r="B30" s="191" t="n"/>
      <c r="C30" s="191" t="n"/>
      <c r="D30" s="191" t="n"/>
      <c r="E30" s="191" t="n"/>
      <c r="F30" s="191" t="n"/>
      <c r="G30" s="191" t="n"/>
      <c r="H30" s="193" t="n"/>
    </row>
    <row r="31">
      <c r="A31" s="194" t="n"/>
      <c r="B31" s="191" t="n"/>
      <c r="C31" s="191" t="n"/>
      <c r="D31" s="191" t="n"/>
      <c r="E31" s="191" t="n"/>
      <c r="F31" s="191" t="n"/>
      <c r="G31" s="191" t="n"/>
      <c r="H31" s="193" t="n"/>
    </row>
    <row r="32">
      <c r="A32" s="194" t="n"/>
      <c r="B32" s="191" t="n"/>
      <c r="C32" s="191" t="n"/>
      <c r="D32" s="191" t="n"/>
      <c r="E32" s="191" t="n"/>
      <c r="F32" s="191" t="n"/>
      <c r="G32" s="191" t="n"/>
      <c r="H32" s="193" t="n"/>
    </row>
    <row r="33">
      <c r="A33" s="194" t="n"/>
      <c r="B33" s="191" t="n"/>
      <c r="C33" s="191" t="n"/>
      <c r="D33" s="191" t="n"/>
      <c r="E33" s="191" t="n"/>
      <c r="F33" s="191" t="n"/>
      <c r="G33" s="191" t="n"/>
      <c r="H33" s="193" t="n"/>
    </row>
    <row r="34">
      <c r="A34" s="194" t="n"/>
      <c r="B34" s="191" t="n"/>
      <c r="C34" s="191" t="n"/>
      <c r="D34" s="191" t="n"/>
      <c r="E34" s="191" t="n"/>
      <c r="F34" s="191" t="n"/>
      <c r="G34" s="191" t="n"/>
      <c r="H34" s="193" t="n"/>
    </row>
    <row r="35">
      <c r="A35" s="194" t="n"/>
      <c r="B35" s="191" t="n"/>
      <c r="C35" s="191" t="n"/>
      <c r="D35" s="191" t="n"/>
      <c r="E35" s="191" t="n"/>
      <c r="F35" s="191" t="n"/>
      <c r="G35" s="191" t="n"/>
      <c r="H35" s="193"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5" t="inlineStr">
        <is>
          <t>ITEM</t>
        </is>
      </c>
      <c r="B1" s="151" t="inlineStr">
        <is>
          <t>CEDULA</t>
        </is>
      </c>
      <c r="C1" s="196" t="inlineStr">
        <is>
          <t>CODIGO</t>
        </is>
      </c>
      <c r="D1" s="196" t="inlineStr">
        <is>
          <t>NOMBRE</t>
        </is>
      </c>
      <c r="E1" s="196" t="inlineStr">
        <is>
          <t>CARGO</t>
        </is>
      </c>
      <c r="F1" s="197" t="inlineStr">
        <is>
          <t>FECHA DE INGRESO</t>
        </is>
      </c>
      <c r="G1" s="151" t="inlineStr">
        <is>
          <t>CONCEPTO</t>
        </is>
      </c>
      <c r="H1" s="198" t="inlineStr">
        <is>
          <t>VALOR HORA</t>
        </is>
      </c>
      <c r="I1" s="151" t="inlineStr">
        <is>
          <t>HORAS LABORADAS</t>
        </is>
      </c>
      <c r="J1" s="152" t="inlineStr">
        <is>
          <t>TOTAL</t>
        </is>
      </c>
    </row>
    <row r="2">
      <c r="A2" s="199" t="n"/>
      <c r="B2" s="200" t="n"/>
      <c r="C2" s="201" t="n"/>
      <c r="D2" s="201" t="n"/>
      <c r="E2" s="201" t="n"/>
      <c r="F2" s="201" t="n"/>
      <c r="G2" s="200" t="n"/>
      <c r="H2" s="200" t="n"/>
      <c r="I2" s="200" t="n"/>
      <c r="J2" s="201" t="n"/>
    </row>
    <row r="3" ht="15.75" customHeight="1">
      <c r="A3" s="2" t="n">
        <v>1</v>
      </c>
      <c r="B3" s="3" t="n"/>
      <c r="C3" s="5">
        <f>IFERROR(VLOOKUP(B3,#REF!,2,0)," ")</f>
        <v/>
      </c>
      <c r="D3" s="4">
        <f>IFERROR(VLOOKUP(B3,#REF!,4,0)," ")</f>
        <v/>
      </c>
      <c r="E3" s="4">
        <f>IFERROR(VLOOKUP(B3,#REF!,6,0)," ")</f>
        <v/>
      </c>
      <c r="F3" s="12">
        <f>IFERROR(VLOOKUP(B3,#REF!,8,0)," ")</f>
        <v/>
      </c>
      <c r="G3" s="202"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2"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2"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2"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2"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2"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2"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2"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2"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2"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2"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2"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2"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2"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2"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2026-07-21T14:14:24Z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