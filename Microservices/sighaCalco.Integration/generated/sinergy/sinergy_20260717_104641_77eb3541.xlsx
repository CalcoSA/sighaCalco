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1">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n"/>
      <c r="Q6" s="71" t="n"/>
      <c r="R6" s="72" t="n"/>
      <c r="S6" s="72" t="n"/>
      <c r="T6" s="66" t="n"/>
      <c r="V6" s="72" t="n"/>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n"/>
      <c r="Q7" s="71" t="n"/>
      <c r="R7" s="72" t="n"/>
      <c r="S7" s="72" t="n"/>
      <c r="T7" s="66" t="n"/>
      <c r="V7" s="72" t="n"/>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n"/>
      <c r="Q8" s="71" t="n"/>
      <c r="R8" s="72" t="n"/>
      <c r="S8" s="72" t="n"/>
      <c r="T8" s="66" t="n"/>
      <c r="V8" s="72" t="n"/>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n"/>
      <c r="Q9" s="71" t="n"/>
      <c r="R9" s="72" t="n"/>
      <c r="S9" s="72" t="n"/>
      <c r="T9" s="66" t="n"/>
      <c r="V9" s="72" t="n"/>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n"/>
      <c r="Q10" s="71" t="n"/>
      <c r="R10" s="72" t="n"/>
      <c r="S10" s="72" t="n"/>
      <c r="T10" s="66" t="n"/>
      <c r="V10" s="72" t="n"/>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n"/>
      <c r="Q11" s="71" t="n"/>
      <c r="R11" s="72" t="n"/>
      <c r="S11" s="72" t="n"/>
      <c r="T11" s="66" t="n"/>
      <c r="V11" s="72" t="n"/>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n"/>
      <c r="Q12" s="71" t="n"/>
      <c r="R12" s="72" t="n"/>
      <c r="S12" s="72" t="n"/>
      <c r="T12" s="66" t="n"/>
      <c r="V12" s="72" t="n"/>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n"/>
      <c r="Q13" s="71" t="n"/>
      <c r="R13" s="72" t="n"/>
      <c r="S13" s="72" t="n"/>
      <c r="T13" s="66" t="n"/>
      <c r="U13" s="65" t="n"/>
      <c r="V13" s="72" t="n"/>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n"/>
      <c r="Q14" s="71" t="n"/>
      <c r="R14" s="72" t="n"/>
      <c r="S14" s="72" t="n"/>
      <c r="T14" s="66" t="n"/>
      <c r="U14" s="65" t="n"/>
      <c r="V14" s="72" t="n"/>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n"/>
      <c r="Q15" s="71" t="n"/>
      <c r="R15" s="72" t="n"/>
      <c r="S15" s="72" t="n"/>
      <c r="T15" s="66" t="n"/>
      <c r="U15" s="65" t="n"/>
      <c r="V15" s="72" t="n"/>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n"/>
      <c r="Q16" s="71" t="n"/>
      <c r="R16" s="72" t="n"/>
      <c r="S16" s="72" t="n"/>
      <c r="T16" s="66" t="n"/>
      <c r="U16" s="65" t="n"/>
      <c r="V16" s="72" t="n"/>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n"/>
      <c r="Q17" s="71" t="n"/>
      <c r="R17" s="72" t="n"/>
      <c r="S17" s="72" t="n"/>
      <c r="T17" s="66" t="n"/>
      <c r="U17" s="65" t="n"/>
      <c r="V17" s="72" t="n"/>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n"/>
      <c r="Q18" s="71" t="n"/>
      <c r="R18" s="72" t="n"/>
      <c r="S18" s="72" t="n"/>
      <c r="T18" s="66" t="n"/>
      <c r="U18" s="65" t="n"/>
      <c r="V18" s="72" t="n"/>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n"/>
      <c r="Q19" s="71" t="n"/>
      <c r="R19" s="72" t="n"/>
      <c r="S19" s="72" t="n"/>
      <c r="T19" s="66" t="n"/>
      <c r="U19" s="65" t="n"/>
      <c r="V19" s="72" t="n"/>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n"/>
      <c r="Q20" s="71" t="n"/>
      <c r="R20" s="72" t="n"/>
      <c r="S20" s="72" t="n"/>
      <c r="T20" s="66" t="n"/>
      <c r="U20" s="65" t="n"/>
      <c r="V20" s="72" t="n"/>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n"/>
      <c r="Q21" s="71" t="n"/>
      <c r="R21" s="72" t="n"/>
      <c r="S21" s="72" t="n"/>
      <c r="T21" s="66" t="n"/>
      <c r="U21" s="65" t="n"/>
      <c r="V21" s="72" t="n"/>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n"/>
      <c r="Q22" s="71" t="n"/>
      <c r="R22" s="72" t="n"/>
      <c r="S22" s="72" t="n"/>
      <c r="T22" s="66" t="n"/>
      <c r="V22" s="72" t="n"/>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n"/>
      <c r="Q23" s="71" t="n"/>
      <c r="R23" s="72" t="n"/>
      <c r="S23" s="72" t="n"/>
      <c r="T23" s="66" t="n"/>
      <c r="V23" s="72" t="n"/>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n"/>
      <c r="Q24" s="71" t="n"/>
      <c r="R24" s="72" t="n"/>
      <c r="S24" s="72" t="n"/>
      <c r="T24" s="66" t="n"/>
      <c r="V24" s="72" t="n"/>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2" t="n"/>
      <c r="C1" s="182" t="n"/>
      <c r="D1" s="182" t="n"/>
      <c r="E1" s="182" t="n"/>
      <c r="F1" s="182" t="n"/>
      <c r="G1" s="182" t="n"/>
      <c r="H1" s="182"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3" t="inlineStr">
        <is>
          <t>ITEM</t>
        </is>
      </c>
      <c r="B1" s="151" t="inlineStr">
        <is>
          <t>CEDULA</t>
        </is>
      </c>
      <c r="C1" s="184" t="inlineStr">
        <is>
          <t>CODIGO</t>
        </is>
      </c>
      <c r="D1" s="184" t="inlineStr">
        <is>
          <t>NOMBRE</t>
        </is>
      </c>
      <c r="E1" s="184" t="inlineStr">
        <is>
          <t>CARGO</t>
        </is>
      </c>
      <c r="F1" s="185" t="inlineStr">
        <is>
          <t>FECHA DE INGRESO</t>
        </is>
      </c>
      <c r="G1" s="151" t="inlineStr">
        <is>
          <t>CONCEPTO</t>
        </is>
      </c>
      <c r="H1" s="186" t="inlineStr">
        <is>
          <t>VALOR HORA</t>
        </is>
      </c>
      <c r="I1" s="151" t="inlineStr">
        <is>
          <t>HORAS LABORADAS</t>
        </is>
      </c>
      <c r="J1" s="152" t="inlineStr">
        <is>
          <t>TOTAL</t>
        </is>
      </c>
    </row>
    <row r="2">
      <c r="A2" s="187" t="n"/>
      <c r="B2" s="188" t="n"/>
      <c r="C2" s="189" t="n"/>
      <c r="D2" s="189" t="n"/>
      <c r="E2" s="189" t="n"/>
      <c r="F2" s="189" t="n"/>
      <c r="G2" s="188" t="n"/>
      <c r="H2" s="188" t="n"/>
      <c r="I2" s="188" t="n"/>
      <c r="J2" s="189" t="n"/>
    </row>
    <row r="3" ht="15.75" customHeight="1">
      <c r="A3" s="2" t="n">
        <v>1</v>
      </c>
      <c r="B3" s="3" t="n"/>
      <c r="C3" s="5">
        <f>IFERROR(VLOOKUP(B3,#REF!,2,0)," ")</f>
        <v/>
      </c>
      <c r="D3" s="4">
        <f>IFERROR(VLOOKUP(B3,#REF!,4,0)," ")</f>
        <v/>
      </c>
      <c r="E3" s="4">
        <f>IFERROR(VLOOKUP(B3,#REF!,6,0)," ")</f>
        <v/>
      </c>
      <c r="F3" s="12">
        <f>IFERROR(VLOOKUP(B3,#REF!,8,0)," ")</f>
        <v/>
      </c>
      <c r="G3" s="190"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0"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0"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0"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0"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0"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0"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0"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0"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0"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0"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0"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0"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0"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0"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2026-07-17T15:46:39Z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